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g1tn\Documents\RTA-SUM\01_dev\sum_spm\10_Documents\00_PrjManagement\"/>
    </mc:Choice>
  </mc:AlternateContent>
  <xr:revisionPtr revIDLastSave="0" documentId="13_ncr:1_{F1574600-2124-462A-9596-A541920F66D1}" xr6:coauthVersionLast="47" xr6:coauthVersionMax="47" xr10:uidLastSave="{00000000-0000-0000-0000-000000000000}"/>
  <bookViews>
    <workbookView xWindow="-27990" yWindow="1545" windowWidth="28110" windowHeight="16440" xr2:uid="{FEF8CA17-E480-46E0-B3EE-1B3C15003495}"/>
  </bookViews>
  <sheets>
    <sheet name="SPM_release_plan" sheetId="1" r:id="rId1"/>
    <sheet name="SPM_development_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E21" i="2"/>
  <c r="F8" i="1" s="1"/>
  <c r="F9" i="1" l="1"/>
</calcChain>
</file>

<file path=xl/sharedStrings.xml><?xml version="1.0" encoding="utf-8"?>
<sst xmlns="http://schemas.openxmlformats.org/spreadsheetml/2006/main" count="119" uniqueCount="79">
  <si>
    <t>Description</t>
  </si>
  <si>
    <t>Wished Date</t>
  </si>
  <si>
    <t>Start Date</t>
  </si>
  <si>
    <t>Release number</t>
  </si>
  <si>
    <t>Feature in release</t>
  </si>
  <si>
    <t>Category</t>
  </si>
  <si>
    <t>Priority</t>
  </si>
  <si>
    <t>Status</t>
  </si>
  <si>
    <t>Transmission of Heartbeat Frame</t>
  </si>
  <si>
    <t>definition of Ethernet wake-up still missing. Skip for this release</t>
  </si>
  <si>
    <t>serialize the data in SOME/IP protocol package and send it on the Ethernet bus.</t>
  </si>
  <si>
    <t>Transmission of SPM target notification messages</t>
  </si>
  <si>
    <t>Message at this scope are:
1. Activation and Deactivation request
2. Request Acknowkedge
3. Profile Status information
Messages shall be in separated PDU or in a single one.</t>
  </si>
  <si>
    <t>lSPM-to-rSPM communication
(Tx)</t>
  </si>
  <si>
    <t>lPM-to-rPM communication
(Tx)</t>
  </si>
  <si>
    <t>lSM-rSM communication
(Tx)</t>
  </si>
  <si>
    <t>lSPM-to-rSPM communication
(Rx)</t>
  </si>
  <si>
    <t>Message format and Synchrnoization/scheduling can be the critical points
The masking/filtering mechanism/algorithm can be also in scope to this development</t>
  </si>
  <si>
    <r>
      <t xml:space="preserve">ACK is produced by the Offerer of the service to the consumer. </t>
    </r>
    <r>
      <rPr>
        <i/>
        <sz val="11"/>
        <color theme="1"/>
        <rFont val="Calibri"/>
        <family val="2"/>
        <scheme val="minor"/>
      </rPr>
      <t>Why it is in Consumer request message?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ASSUMPTION: ACK is in a pipeline. Consumer produces an ACK for a Service for which it is a offerer.</t>
    </r>
  </si>
  <si>
    <t>Reception of the SPM target notification messages</t>
  </si>
  <si>
    <t>lSM-rSM communication
(Rx)</t>
  </si>
  <si>
    <t>Use of RTE/SomeIp_Xfrm plus the LdCom.
Standard autosar stcak can be use
Try to think about the critical path with the longest possible messages
Explore the specification on these topoics</t>
  </si>
  <si>
    <t>Blocks, Comments and Dependecies</t>
  </si>
  <si>
    <t>Parsing the power profile</t>
  </si>
  <si>
    <t>Power Profile Management</t>
  </si>
  <si>
    <t>Configuration dependet work.
GM asks for the Conf-gen on this topic. 
Alignment with the FAE team might be necessary</t>
  </si>
  <si>
    <t>Accepted</t>
  </si>
  <si>
    <r>
      <t xml:space="preserve">Define an handler for the reception of the </t>
    </r>
    <r>
      <rPr>
        <b/>
        <sz val="11"/>
        <color theme="1"/>
        <rFont val="Calibri"/>
        <family val="2"/>
        <scheme val="minor"/>
      </rPr>
      <t>CAN</t>
    </r>
    <r>
      <rPr>
        <sz val="11"/>
        <color theme="1"/>
        <rFont val="Calibri"/>
        <family val="2"/>
        <scheme val="minor"/>
      </rPr>
      <t xml:space="preserve"> wake-up frame from the Can_Drv or Can_If. </t>
    </r>
  </si>
  <si>
    <t>Activity</t>
  </si>
  <si>
    <t>Jira Ticket</t>
  </si>
  <si>
    <t>End date</t>
  </si>
  <si>
    <t>Day (8hr) 
estimation</t>
  </si>
  <si>
    <t>Define the ParamDef for the Power Profile</t>
  </si>
  <si>
    <t>Define data structure to contain the field of data message</t>
  </si>
  <si>
    <t>Define Configuration and Calibration Parameter for messages
and messages fields</t>
  </si>
  <si>
    <t>Analyze interaction between SPM and LdCom</t>
  </si>
  <si>
    <t>Analyze interaction between SPM and SomeIp_Xfrm 
(RTA-RIPs?)</t>
  </si>
  <si>
    <t>Analyze interaction between SPM and Can_Drv and/or Can_If</t>
  </si>
  <si>
    <r>
      <t xml:space="preserve">Define an </t>
    </r>
    <r>
      <rPr>
        <i/>
        <sz val="11"/>
        <color theme="1"/>
        <rFont val="Calibri"/>
        <family val="2"/>
        <scheme val="minor"/>
      </rPr>
      <t>Sum_SPM_EnableModule</t>
    </r>
    <r>
      <rPr>
        <sz val="11"/>
        <color theme="1"/>
        <rFont val="Calibri"/>
        <family val="2"/>
        <scheme val="minor"/>
      </rPr>
      <t xml:space="preserve"> flag to start the module
(manually trigger)</t>
    </r>
  </si>
  <si>
    <t>To-do</t>
  </si>
  <si>
    <t>Define integration function to contain the activation logic for a local activation request</t>
  </si>
  <si>
    <t>Define function for transmitting data directly to CAN lower Layer</t>
  </si>
  <si>
    <t>Define function (stub) to create the payload for SPM messages</t>
  </si>
  <si>
    <r>
      <t xml:space="preserve">Define an </t>
    </r>
    <r>
      <rPr>
        <b/>
        <sz val="11"/>
        <color theme="1"/>
        <rFont val="Calibri"/>
        <family val="2"/>
        <scheme val="minor"/>
      </rPr>
      <t>handler</t>
    </r>
    <r>
      <rPr>
        <sz val="11"/>
        <color theme="1"/>
        <rFont val="Calibri"/>
        <family val="2"/>
        <scheme val="minor"/>
      </rPr>
      <t xml:space="preserve"> to trogger the reception and a stub to unpack the messages.</t>
    </r>
  </si>
  <si>
    <t xml:space="preserve">1. Obtain the information from a local DB
2. Define the ParamDef for the Power Profile
</t>
  </si>
  <si>
    <t>Look the specification to understand how to send a messge on can by-passing the higher levels in AUTOSAR.
Understand if use the Can_If or Can_Drv.</t>
  </si>
  <si>
    <t>Understasnd how to put in communication the SomeIp_Xfrm with the LdCom and if the LdCom can direc speaks with the SPM</t>
  </si>
  <si>
    <t>Define function for receiving data directly to CAN lower Layer</t>
  </si>
  <si>
    <t>Which API shall be called once that the Payload data are ready?</t>
  </si>
  <si>
    <t>Define the main components/modules within the SPM. The divisio should be done by functional/logic point of view</t>
  </si>
  <si>
    <t>Total Days:</t>
  </si>
  <si>
    <t>Amounts of days</t>
  </si>
  <si>
    <t>Candidate Day</t>
  </si>
  <si>
    <t>Probaly an IRV for enabling the execution of the module functions</t>
  </si>
  <si>
    <t>This just for initializing module states and variables</t>
  </si>
  <si>
    <t>Some messages as the Heartbeat needs a timer with a configuration value for the initial one and then, it can be calibrable</t>
  </si>
  <si>
    <t>Define the structures as per SDV-2017</t>
  </si>
  <si>
    <t>Define a function prototype in order to get the logic of the activation of the power profile</t>
  </si>
  <si>
    <t>Development</t>
  </si>
  <si>
    <t>Task</t>
  </si>
  <si>
    <t>Define the parameter definition and structure fo the containers to store the information as GM describes the database</t>
  </si>
  <si>
    <t>SPM CDD speaks with the driver/interface to receive the can wake-up frame and implements the filtering</t>
  </si>
  <si>
    <t>SPM CDD speaks with the driver/interface to send the CAN wake-up frame. This requires the definition of the payload</t>
  </si>
  <si>
    <t>This is the main function to build the main payloads for the messages</t>
  </si>
  <si>
    <t>The receiving SPM messages are in Secure I-PDU, therefore in the receiving path, the SPM shall manage the returning from the SecOc to verify the PDU</t>
  </si>
  <si>
    <r>
      <t xml:space="preserve">Define an </t>
    </r>
    <r>
      <rPr>
        <i/>
        <sz val="11"/>
        <color theme="1"/>
        <rFont val="Calibri"/>
        <family val="2"/>
        <scheme val="minor"/>
      </rPr>
      <t xml:space="preserve">Sum_Spm_Init() </t>
    </r>
    <r>
      <rPr>
        <sz val="11"/>
        <color theme="1"/>
        <rFont val="Calibri"/>
        <family val="2"/>
        <scheme val="minor"/>
      </rPr>
      <t xml:space="preserve"> and a </t>
    </r>
    <r>
      <rPr>
        <i/>
        <sz val="11"/>
        <color theme="1"/>
        <rFont val="Calibri"/>
        <family val="2"/>
        <scheme val="minor"/>
      </rPr>
      <t>Spm_Main()</t>
    </r>
  </si>
  <si>
    <r>
      <t xml:space="preserve">Build the payload of a </t>
    </r>
    <r>
      <rPr>
        <b/>
        <sz val="11"/>
        <color theme="1"/>
        <rFont val="Calibri"/>
        <family val="2"/>
        <scheme val="minor"/>
      </rPr>
      <t>CAN</t>
    </r>
    <r>
      <rPr>
        <sz val="11"/>
        <color theme="1"/>
        <rFont val="Calibri"/>
        <family val="2"/>
        <scheme val="minor"/>
      </rPr>
      <t xml:space="preserve"> Wake-up frame in the SPM and transmit it using the lower layers of the AUTOSAR stack.
SPM-CAN: MCAL level</t>
    </r>
  </si>
  <si>
    <t>Proposal for port-interface fro SPM mesages through the Com, LdCom</t>
  </si>
  <si>
    <t>Ports will be used to come out-from the SPM to the transformer</t>
  </si>
  <si>
    <t>Proposal for SPM paramdef</t>
  </si>
  <si>
    <t>Define all the parts for the Power Profile configuration</t>
  </si>
  <si>
    <t>Proposal for the data structure that are generated by the configuration of power profile and messages</t>
  </si>
  <si>
    <t>Define the structure in teh code to contain the data</t>
  </si>
  <si>
    <t>In-Progress</t>
  </si>
  <si>
    <t>Done</t>
  </si>
  <si>
    <t>Interaction between SPM and SecOc for the receiving path</t>
  </si>
  <si>
    <r>
      <t xml:space="preserve">Transmission of </t>
    </r>
    <r>
      <rPr>
        <b/>
        <sz val="11"/>
        <color theme="1"/>
        <rFont val="Calibri"/>
        <family val="2"/>
        <scheme val="minor"/>
      </rPr>
      <t>CAN</t>
    </r>
    <r>
      <rPr>
        <sz val="11"/>
        <color theme="1"/>
        <rFont val="Calibri"/>
        <family val="2"/>
        <scheme val="minor"/>
      </rPr>
      <t xml:space="preserve"> Wake-up frames</t>
    </r>
  </si>
  <si>
    <r>
      <t xml:space="preserve">Reception of the </t>
    </r>
    <r>
      <rPr>
        <b/>
        <sz val="11"/>
        <color theme="1"/>
        <rFont val="Calibri"/>
        <family val="2"/>
        <scheme val="minor"/>
      </rPr>
      <t>CAN</t>
    </r>
    <r>
      <rPr>
        <sz val="11"/>
        <color theme="1"/>
        <rFont val="Calibri"/>
        <family val="2"/>
        <scheme val="minor"/>
      </rPr>
      <t xml:space="preserve"> Wake-up frames</t>
    </r>
  </si>
  <si>
    <t>UG and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</si>
</sst>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14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top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</cellXfs>
  <cellStyles count="1">
    <cellStyle name="Normale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Stile tabella 1" pivot="0" count="1" xr9:uid="{6579D548-B7F2-4BC6-A181-4E30FF34F42B}">
      <tableStyleElement type="wholeTabl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4CD716-0C1C-45FC-90E7-8CA843CE0ED1}" name="Tabella1" displayName="Tabella1" ref="A10:F16" totalsRowShown="0" headerRowDxfId="21" dataDxfId="20">
  <autoFilter ref="A10:F16" xr:uid="{CE4CD716-0C1C-45FC-90E7-8CA843CE0ED1}"/>
  <tableColumns count="6">
    <tableColumn id="1" xr3:uid="{36B3EE57-EA8F-4669-BBD0-C64641C074F3}" name="Feature in release" dataDxfId="19"/>
    <tableColumn id="2" xr3:uid="{B3274082-A10D-4B3F-A9AE-28C7350F668A}" name="Category" dataDxfId="18"/>
    <tableColumn id="3" xr3:uid="{42189625-2ABC-4A11-8193-8BE1C34FC3EB}" name="Priority" dataDxfId="17"/>
    <tableColumn id="4" xr3:uid="{9E9F82C5-C98D-423C-B5B5-165A6D08BA4F}" name="Status" dataDxfId="16"/>
    <tableColumn id="5" xr3:uid="{566FAEF4-D221-41AF-A90E-2A841D99D1E7}" name="Description" dataDxfId="15"/>
    <tableColumn id="6" xr3:uid="{593101CB-B772-4073-BD8F-FBE0EEE6BABF}" name="Blocks, Comments and Dependecies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79593F-BAE6-4C1C-9989-122B9691FCCA}" name="Tabella3" displayName="Tabella3" ref="A3:I20" totalsRowShown="0" headerRowDxfId="10" tableBorderDxfId="9">
  <autoFilter ref="A3:I20" xr:uid="{4179593F-BAE6-4C1C-9989-122B9691FCCA}"/>
  <sortState xmlns:xlrd2="http://schemas.microsoft.com/office/spreadsheetml/2017/richdata2" ref="A4:I20">
    <sortCondition ref="B3:B20"/>
  </sortState>
  <tableColumns count="9">
    <tableColumn id="1" xr3:uid="{25D5C216-7941-4A50-B39B-88124E5D2564}" name="Task" dataDxfId="8"/>
    <tableColumn id="2" xr3:uid="{F30ADC5B-FC31-487B-AD32-0F9AD396B4D3}" name="Priority" dataDxfId="7"/>
    <tableColumn id="3" xr3:uid="{37EBB4FF-F047-4955-899E-B5F54790DF5B}" name="Jira Ticket"/>
    <tableColumn id="4" xr3:uid="{F8A107EC-B40E-4835-87CB-D344669AD9BE}" name="Description" dataDxfId="6"/>
    <tableColumn id="5" xr3:uid="{B3C3AA2B-B79A-4545-A00E-B43FD3198FF0}" name="Day (8hr) _x000a_estimation" dataDxfId="5"/>
    <tableColumn id="6" xr3:uid="{B4305F15-9EC4-48BC-B9D2-F0326DA983EA}" name="Start Date"/>
    <tableColumn id="7" xr3:uid="{F56FBD0B-5D96-4984-9772-63D4006A0F01}" name="End date"/>
    <tableColumn id="11" xr3:uid="{5122619F-7D85-47FA-B231-957765117DE7}" name="Activity" dataDxfId="4"/>
    <tableColumn id="8" xr3:uid="{77E8BD95-0374-4C79-A00D-FF7AEB9A9F45}" name="Development" dataDxfId="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6865-CB63-40F8-AF3B-5A83C44A2AE4}">
  <dimension ref="A4:F36"/>
  <sheetViews>
    <sheetView tabSelected="1" zoomScale="90" zoomScaleNormal="90" workbookViewId="0">
      <selection activeCell="F9" sqref="F9"/>
    </sheetView>
  </sheetViews>
  <sheetFormatPr defaultRowHeight="14.4" x14ac:dyDescent="0.3"/>
  <cols>
    <col min="1" max="1" width="48.21875" style="3" customWidth="1"/>
    <col min="2" max="2" width="25.88671875" style="4" customWidth="1"/>
    <col min="3" max="3" width="13.109375" style="4" customWidth="1"/>
    <col min="4" max="4" width="16.6640625" style="6" customWidth="1"/>
    <col min="5" max="5" width="57" style="3" customWidth="1"/>
    <col min="6" max="6" width="23.77734375" style="3" customWidth="1"/>
  </cols>
  <sheetData>
    <row r="4" spans="1:6" ht="15" thickBot="1" x14ac:dyDescent="0.35"/>
    <row r="5" spans="1:6" ht="15" thickBot="1" x14ac:dyDescent="0.35">
      <c r="A5" s="23" t="s">
        <v>3</v>
      </c>
      <c r="B5" s="24"/>
      <c r="C5" s="24"/>
      <c r="D5" s="24"/>
      <c r="E5" s="25"/>
      <c r="F5" s="10">
        <v>1</v>
      </c>
    </row>
    <row r="6" spans="1:6" ht="15" thickBot="1" x14ac:dyDescent="0.35">
      <c r="A6" s="20" t="s">
        <v>1</v>
      </c>
      <c r="B6" s="21"/>
      <c r="C6" s="21"/>
      <c r="D6" s="21"/>
      <c r="E6" s="22"/>
      <c r="F6" s="8">
        <f>DATE(2023,10,15)</f>
        <v>45214</v>
      </c>
    </row>
    <row r="7" spans="1:6" ht="15" thickBot="1" x14ac:dyDescent="0.35">
      <c r="A7" s="20" t="s">
        <v>2</v>
      </c>
      <c r="B7" s="21"/>
      <c r="C7" s="21"/>
      <c r="D7" s="21"/>
      <c r="E7" s="22"/>
      <c r="F7" s="8">
        <f>DATE(2023,10,6)</f>
        <v>45205</v>
      </c>
    </row>
    <row r="8" spans="1:6" ht="15" thickBot="1" x14ac:dyDescent="0.35">
      <c r="A8" s="20" t="s">
        <v>51</v>
      </c>
      <c r="B8" s="21"/>
      <c r="C8" s="21"/>
      <c r="D8" s="21"/>
      <c r="E8" s="22"/>
      <c r="F8" s="9">
        <f>SPM_development_plan!E21</f>
        <v>25</v>
      </c>
    </row>
    <row r="9" spans="1:6" ht="15" thickBot="1" x14ac:dyDescent="0.35">
      <c r="A9" s="20" t="s">
        <v>52</v>
      </c>
      <c r="B9" s="21"/>
      <c r="C9" s="21"/>
      <c r="D9" s="21"/>
      <c r="E9" s="22"/>
      <c r="F9" s="8">
        <f>F7+F8+(F8-NETWORKDAYS.INTL(F7,F6))</f>
        <v>45249</v>
      </c>
    </row>
    <row r="10" spans="1:6" s="1" customFormat="1" ht="28.8" x14ac:dyDescent="0.3">
      <c r="A10" s="5" t="s">
        <v>4</v>
      </c>
      <c r="B10" s="6" t="s">
        <v>5</v>
      </c>
      <c r="C10" s="6" t="s">
        <v>6</v>
      </c>
      <c r="D10" s="6" t="s">
        <v>7</v>
      </c>
      <c r="E10" s="5" t="s">
        <v>0</v>
      </c>
      <c r="F10" s="5" t="s">
        <v>22</v>
      </c>
    </row>
    <row r="11" spans="1:6" ht="75" customHeight="1" x14ac:dyDescent="0.3">
      <c r="A11" s="3" t="s">
        <v>76</v>
      </c>
      <c r="B11" s="3" t="s">
        <v>13</v>
      </c>
      <c r="D11" s="6" t="s">
        <v>26</v>
      </c>
      <c r="E11" s="3" t="s">
        <v>66</v>
      </c>
      <c r="F11" s="3" t="s">
        <v>9</v>
      </c>
    </row>
    <row r="12" spans="1:6" ht="28.8" x14ac:dyDescent="0.3">
      <c r="A12" s="3" t="s">
        <v>8</v>
      </c>
      <c r="B12" s="3" t="s">
        <v>14</v>
      </c>
      <c r="D12" s="6" t="s">
        <v>26</v>
      </c>
      <c r="E12" s="3" t="s">
        <v>10</v>
      </c>
    </row>
    <row r="13" spans="1:6" ht="158.4" x14ac:dyDescent="0.3">
      <c r="A13" s="3" t="s">
        <v>11</v>
      </c>
      <c r="B13" s="3" t="s">
        <v>15</v>
      </c>
      <c r="D13" s="6" t="s">
        <v>26</v>
      </c>
      <c r="E13" s="3" t="s">
        <v>12</v>
      </c>
      <c r="F13" s="3" t="s">
        <v>18</v>
      </c>
    </row>
    <row r="14" spans="1:6" ht="115.2" x14ac:dyDescent="0.3">
      <c r="A14" s="3" t="s">
        <v>77</v>
      </c>
      <c r="B14" s="3" t="s">
        <v>16</v>
      </c>
      <c r="D14" s="6" t="s">
        <v>26</v>
      </c>
      <c r="E14" s="3" t="s">
        <v>27</v>
      </c>
      <c r="F14" s="3" t="s">
        <v>17</v>
      </c>
    </row>
    <row r="15" spans="1:6" ht="172.8" x14ac:dyDescent="0.3">
      <c r="A15" s="3" t="s">
        <v>19</v>
      </c>
      <c r="B15" s="3" t="s">
        <v>20</v>
      </c>
      <c r="D15" s="6" t="s">
        <v>26</v>
      </c>
      <c r="E15" s="3" t="s">
        <v>43</v>
      </c>
      <c r="F15" s="3" t="s">
        <v>21</v>
      </c>
    </row>
    <row r="16" spans="1:6" ht="115.2" x14ac:dyDescent="0.3">
      <c r="A16" s="3" t="s">
        <v>23</v>
      </c>
      <c r="B16" s="3" t="s">
        <v>24</v>
      </c>
      <c r="D16" s="6" t="s">
        <v>26</v>
      </c>
      <c r="E16" s="3" t="s">
        <v>44</v>
      </c>
      <c r="F16" s="3" t="s">
        <v>25</v>
      </c>
    </row>
    <row r="36" spans="5:5" x14ac:dyDescent="0.3">
      <c r="E36" s="5"/>
    </row>
  </sheetData>
  <mergeCells count="5">
    <mergeCell ref="A9:E9"/>
    <mergeCell ref="A5:E5"/>
    <mergeCell ref="A6:E6"/>
    <mergeCell ref="A8:E8"/>
    <mergeCell ref="A7:E7"/>
  </mergeCells>
  <conditionalFormatting sqref="D11:D16">
    <cfRule type="containsText" dxfId="27" priority="3" operator="containsText" text="Post-Poned">
      <formula>NOT(ISERROR(SEARCH("Post-Poned",D11)))</formula>
    </cfRule>
    <cfRule type="containsText" dxfId="26" priority="4" operator="containsText" text="Implemented">
      <formula>NOT(ISERROR(SEARCH("Implemented",D11)))</formula>
    </cfRule>
    <cfRule type="containsText" dxfId="25" priority="5" operator="containsText" text="Accepted">
      <formula>NOT(ISERROR(SEARCH("Accepted",D11)))</formula>
    </cfRule>
    <cfRule type="containsText" dxfId="24" priority="6" operator="containsText" text="Rejected">
      <formula>NOT(ISERROR(SEARCH("Rejected",D11)))</formula>
    </cfRule>
  </conditionalFormatting>
  <conditionalFormatting sqref="F9">
    <cfRule type="cellIs" dxfId="23" priority="1" operator="lessThan">
      <formula>$F$6</formula>
    </cfRule>
    <cfRule type="cellIs" dxfId="22" priority="2" operator="greaterThan">
      <formula>$F$6</formula>
    </cfRule>
  </conditionalFormatting>
  <dataValidations count="1">
    <dataValidation type="list" allowBlank="1" showInputMessage="1" showErrorMessage="1" sqref="D11:D16" xr:uid="{DED0BE01-14F9-4DA9-A539-909FB5FA19B6}">
      <formula1>"Accepted,Implemented,Post-poned,Rejected"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0547-A401-40A1-8842-4CD2E6245501}">
  <dimension ref="A1:I21"/>
  <sheetViews>
    <sheetView workbookViewId="0">
      <selection activeCell="H15" sqref="H15"/>
    </sheetView>
  </sheetViews>
  <sheetFormatPr defaultRowHeight="14.4" x14ac:dyDescent="0.3"/>
  <cols>
    <col min="1" max="1" width="57.21875" style="4" customWidth="1"/>
    <col min="2" max="2" width="14.44140625" style="6" customWidth="1"/>
    <col min="3" max="3" width="15.6640625" customWidth="1"/>
    <col min="4" max="4" width="49.5546875" style="2" customWidth="1"/>
    <col min="5" max="5" width="19.77734375" style="6" customWidth="1"/>
    <col min="6" max="6" width="16.44140625" customWidth="1"/>
    <col min="7" max="7" width="16" customWidth="1"/>
    <col min="8" max="8" width="17.109375" style="6" customWidth="1"/>
    <col min="9" max="9" width="19.21875" customWidth="1"/>
  </cols>
  <sheetData>
    <row r="1" spans="1:9" ht="15" thickBot="1" x14ac:dyDescent="0.35"/>
    <row r="2" spans="1:9" x14ac:dyDescent="0.3">
      <c r="A2" s="26" t="s">
        <v>3</v>
      </c>
      <c r="B2" s="27"/>
      <c r="C2" s="27"/>
      <c r="D2" s="28"/>
      <c r="E2" s="29">
        <v>1</v>
      </c>
      <c r="F2" s="30"/>
      <c r="G2" s="30"/>
      <c r="H2" s="30"/>
      <c r="I2" s="31"/>
    </row>
    <row r="3" spans="1:9" s="6" customFormat="1" ht="28.8" x14ac:dyDescent="0.3">
      <c r="A3" s="6" t="s">
        <v>59</v>
      </c>
      <c r="B3" s="6" t="s">
        <v>6</v>
      </c>
      <c r="C3" s="6" t="s">
        <v>29</v>
      </c>
      <c r="D3" s="5" t="s">
        <v>0</v>
      </c>
      <c r="E3" s="5" t="s">
        <v>31</v>
      </c>
      <c r="F3" s="6" t="s">
        <v>2</v>
      </c>
      <c r="G3" s="6" t="s">
        <v>30</v>
      </c>
      <c r="H3" s="6" t="s">
        <v>28</v>
      </c>
      <c r="I3" s="6" t="s">
        <v>58</v>
      </c>
    </row>
    <row r="4" spans="1:9" ht="28.8" x14ac:dyDescent="0.3">
      <c r="A4" s="11" t="s">
        <v>67</v>
      </c>
      <c r="B4" s="12">
        <v>0</v>
      </c>
      <c r="C4" s="13"/>
      <c r="D4" s="14" t="s">
        <v>68</v>
      </c>
      <c r="E4" s="12">
        <v>5</v>
      </c>
      <c r="F4" s="13"/>
      <c r="G4" s="13"/>
      <c r="H4" s="12" t="s">
        <v>26</v>
      </c>
      <c r="I4" s="12" t="s">
        <v>73</v>
      </c>
    </row>
    <row r="5" spans="1:9" x14ac:dyDescent="0.3">
      <c r="A5" s="11" t="s">
        <v>69</v>
      </c>
      <c r="B5" s="12">
        <v>0</v>
      </c>
      <c r="C5" s="13"/>
      <c r="D5" s="14" t="s">
        <v>70</v>
      </c>
      <c r="E5" s="12">
        <v>0</v>
      </c>
      <c r="F5" s="13"/>
      <c r="G5" s="13"/>
      <c r="H5" s="12" t="s">
        <v>26</v>
      </c>
      <c r="I5" s="12" t="s">
        <v>74</v>
      </c>
    </row>
    <row r="6" spans="1:9" ht="28.8" x14ac:dyDescent="0.3">
      <c r="A6" s="11" t="s">
        <v>71</v>
      </c>
      <c r="B6" s="12">
        <v>0</v>
      </c>
      <c r="C6" s="13"/>
      <c r="D6" s="14" t="s">
        <v>72</v>
      </c>
      <c r="E6" s="12">
        <v>0</v>
      </c>
      <c r="F6" s="13"/>
      <c r="G6" s="13"/>
      <c r="H6" s="12" t="s">
        <v>26</v>
      </c>
      <c r="I6" s="12" t="s">
        <v>74</v>
      </c>
    </row>
    <row r="7" spans="1:9" ht="57.6" x14ac:dyDescent="0.3">
      <c r="A7" s="4" t="s">
        <v>37</v>
      </c>
      <c r="B7" s="6">
        <v>1</v>
      </c>
      <c r="D7" s="2" t="s">
        <v>45</v>
      </c>
      <c r="E7" s="6">
        <v>2</v>
      </c>
      <c r="H7" s="6" t="s">
        <v>26</v>
      </c>
      <c r="I7" s="6" t="s">
        <v>73</v>
      </c>
    </row>
    <row r="8" spans="1:9" ht="28.8" x14ac:dyDescent="0.3">
      <c r="A8" s="4" t="s">
        <v>35</v>
      </c>
      <c r="B8" s="6">
        <v>1</v>
      </c>
      <c r="D8" s="3" t="s">
        <v>46</v>
      </c>
      <c r="E8" s="6">
        <v>2</v>
      </c>
      <c r="H8" s="6" t="s">
        <v>26</v>
      </c>
      <c r="I8" s="6" t="s">
        <v>73</v>
      </c>
    </row>
    <row r="9" spans="1:9" ht="25.8" customHeight="1" x14ac:dyDescent="0.3">
      <c r="A9" s="3" t="s">
        <v>36</v>
      </c>
      <c r="B9" s="6">
        <v>1</v>
      </c>
      <c r="D9" s="7" t="s">
        <v>48</v>
      </c>
      <c r="E9" s="6">
        <v>2</v>
      </c>
      <c r="H9" s="6" t="s">
        <v>26</v>
      </c>
      <c r="I9" s="6" t="s">
        <v>73</v>
      </c>
    </row>
    <row r="10" spans="1:9" ht="43.2" x14ac:dyDescent="0.3">
      <c r="A10" s="3" t="s">
        <v>78</v>
      </c>
      <c r="B10" s="6">
        <v>1</v>
      </c>
      <c r="D10" s="2" t="s">
        <v>49</v>
      </c>
      <c r="E10" s="6">
        <v>3</v>
      </c>
      <c r="H10" s="6" t="s">
        <v>26</v>
      </c>
      <c r="I10" s="6" t="s">
        <v>39</v>
      </c>
    </row>
    <row r="11" spans="1:9" ht="28.8" x14ac:dyDescent="0.3">
      <c r="A11" s="3" t="s">
        <v>47</v>
      </c>
      <c r="B11" s="6">
        <v>1</v>
      </c>
      <c r="D11" s="2" t="s">
        <v>61</v>
      </c>
      <c r="E11" s="6">
        <v>5</v>
      </c>
      <c r="H11" s="6" t="s">
        <v>26</v>
      </c>
      <c r="I11" s="6" t="s">
        <v>73</v>
      </c>
    </row>
    <row r="12" spans="1:9" ht="28.8" x14ac:dyDescent="0.3">
      <c r="A12" s="4" t="s">
        <v>33</v>
      </c>
      <c r="B12" s="6">
        <v>2</v>
      </c>
      <c r="D12" s="2" t="s">
        <v>56</v>
      </c>
      <c r="E12" s="6">
        <v>0</v>
      </c>
      <c r="H12" s="6" t="s">
        <v>26</v>
      </c>
      <c r="I12" s="6" t="s">
        <v>74</v>
      </c>
    </row>
    <row r="13" spans="1:9" ht="43.2" x14ac:dyDescent="0.3">
      <c r="A13" s="3" t="s">
        <v>40</v>
      </c>
      <c r="B13" s="6">
        <v>2</v>
      </c>
      <c r="D13" s="2" t="s">
        <v>57</v>
      </c>
      <c r="E13" s="6">
        <v>1</v>
      </c>
      <c r="H13" s="6" t="s">
        <v>26</v>
      </c>
      <c r="I13" s="6" t="s">
        <v>73</v>
      </c>
    </row>
    <row r="14" spans="1:9" ht="28.8" x14ac:dyDescent="0.3">
      <c r="A14" s="3" t="s">
        <v>41</v>
      </c>
      <c r="B14" s="6">
        <v>2</v>
      </c>
      <c r="D14" s="2" t="s">
        <v>62</v>
      </c>
      <c r="E14" s="6">
        <v>2</v>
      </c>
      <c r="H14" s="6" t="s">
        <v>26</v>
      </c>
      <c r="I14" s="6" t="s">
        <v>73</v>
      </c>
    </row>
    <row r="15" spans="1:9" ht="28.8" x14ac:dyDescent="0.3">
      <c r="A15" s="3" t="s">
        <v>42</v>
      </c>
      <c r="B15" s="6">
        <v>2</v>
      </c>
      <c r="D15" s="2" t="s">
        <v>63</v>
      </c>
      <c r="E15" s="6">
        <v>0</v>
      </c>
      <c r="H15" s="6" t="s">
        <v>26</v>
      </c>
      <c r="I15" s="6" t="s">
        <v>74</v>
      </c>
    </row>
    <row r="16" spans="1:9" ht="43.2" hidden="1" x14ac:dyDescent="0.3">
      <c r="A16" s="3" t="s">
        <v>75</v>
      </c>
      <c r="B16" s="6">
        <v>2</v>
      </c>
      <c r="D16" s="2" t="s">
        <v>64</v>
      </c>
      <c r="E16" s="6">
        <v>0</v>
      </c>
      <c r="H16" s="6" t="s">
        <v>26</v>
      </c>
      <c r="I16" s="6" t="s">
        <v>39</v>
      </c>
    </row>
    <row r="17" spans="1:9" s="17" customFormat="1" ht="3.6" customHeight="1" x14ac:dyDescent="0.3">
      <c r="A17" s="15" t="s">
        <v>38</v>
      </c>
      <c r="B17" s="16">
        <v>4</v>
      </c>
      <c r="D17" s="18" t="s">
        <v>53</v>
      </c>
      <c r="E17" s="16">
        <v>0</v>
      </c>
      <c r="H17" s="16" t="s">
        <v>26</v>
      </c>
      <c r="I17" s="16" t="s">
        <v>39</v>
      </c>
    </row>
    <row r="18" spans="1:9" s="17" customFormat="1" x14ac:dyDescent="0.3">
      <c r="A18" s="19" t="s">
        <v>65</v>
      </c>
      <c r="B18" s="16">
        <v>4</v>
      </c>
      <c r="D18" s="18" t="s">
        <v>54</v>
      </c>
      <c r="E18" s="16">
        <v>2</v>
      </c>
      <c r="H18" s="16" t="s">
        <v>26</v>
      </c>
      <c r="I18" s="16" t="s">
        <v>73</v>
      </c>
    </row>
    <row r="19" spans="1:9" s="17" customFormat="1" ht="43.2" x14ac:dyDescent="0.3">
      <c r="A19" s="15" t="s">
        <v>34</v>
      </c>
      <c r="B19" s="16">
        <v>4</v>
      </c>
      <c r="D19" s="18" t="s">
        <v>55</v>
      </c>
      <c r="E19" s="16">
        <v>1</v>
      </c>
      <c r="H19" s="16" t="s">
        <v>26</v>
      </c>
      <c r="I19" s="16" t="s">
        <v>73</v>
      </c>
    </row>
    <row r="20" spans="1:9" ht="43.8" thickBot="1" x14ac:dyDescent="0.35">
      <c r="A20" s="4" t="s">
        <v>32</v>
      </c>
      <c r="B20" s="6">
        <v>4</v>
      </c>
      <c r="D20" s="2" t="s">
        <v>60</v>
      </c>
      <c r="E20" s="6">
        <v>0</v>
      </c>
      <c r="H20" s="6" t="s">
        <v>26</v>
      </c>
      <c r="I20" s="6" t="s">
        <v>74</v>
      </c>
    </row>
    <row r="21" spans="1:9" ht="15" thickBot="1" x14ac:dyDescent="0.35">
      <c r="A21" s="32" t="s">
        <v>50</v>
      </c>
      <c r="B21" s="33"/>
      <c r="C21" s="33"/>
      <c r="D21" s="34"/>
      <c r="E21" s="35">
        <f>SUMIF(Tabella3[Activity],"Accepted",Tabella3[Day (8hr) 
estimation])</f>
        <v>25</v>
      </c>
      <c r="F21" s="33"/>
      <c r="G21" s="33"/>
      <c r="H21" s="33"/>
      <c r="I21" s="36"/>
    </row>
  </sheetData>
  <mergeCells count="4">
    <mergeCell ref="A2:D2"/>
    <mergeCell ref="E2:I2"/>
    <mergeCell ref="A21:D21"/>
    <mergeCell ref="E21:I21"/>
  </mergeCells>
  <conditionalFormatting sqref="I4:I20">
    <cfRule type="containsText" dxfId="2" priority="1" operator="containsText" text="In-Progress">
      <formula>NOT(ISERROR(SEARCH("In-Progress",I4)))</formula>
    </cfRule>
    <cfRule type="containsText" dxfId="1" priority="2" operator="containsText" text="Done">
      <formula>NOT(ISERROR(SEARCH("Done",I4)))</formula>
    </cfRule>
    <cfRule type="containsText" dxfId="0" priority="3" operator="containsText" text="To-do">
      <formula>NOT(ISERROR(SEARCH("To-do",I4)))</formula>
    </cfRule>
  </conditionalFormatting>
  <dataValidations count="2">
    <dataValidation type="list" allowBlank="1" showInputMessage="1" showErrorMessage="1" sqref="H4:H20" xr:uid="{F50787D7-FE9E-4FB9-BFDD-C111C9B471FB}">
      <formula1>"Accepted,Rejected"</formula1>
    </dataValidation>
    <dataValidation type="list" allowBlank="1" showInputMessage="1" showErrorMessage="1" sqref="I4:I20" xr:uid="{214D777C-9459-4783-8435-F29FF1EC8A03}">
      <formula1>"To-do,Done,In-Progress,Rejected"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SPM_release_plan</vt:lpstr>
      <vt:lpstr>SPM_development_plan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Pinti Giovanni (ETAS-VOS/XPC-Tn1)</dc:creator>
  <cp:lastModifiedBy>Pinti Giovanni (ETAS-VOS/XPC-Tn1)</cp:lastModifiedBy>
  <dcterms:created xsi:type="dcterms:W3CDTF">2023-09-07T11:43:19Z</dcterms:created>
  <dcterms:modified xsi:type="dcterms:W3CDTF">2023-10-06T10:09:56Z</dcterms:modified>
</cp:coreProperties>
</file>