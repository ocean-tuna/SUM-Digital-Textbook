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hidePivotFieldList="1"/>
  <mc:AlternateContent xmlns:mc="http://schemas.openxmlformats.org/markup-compatibility/2006">
    <mc:Choice Requires="x15">
      <x15ac:absPath xmlns:x15ac="http://schemas.microsoft.com/office/spreadsheetml/2010/11/ac" url="C:\Users\VAE1MI\Desktop\OLD\SPM_OLD\10_Documents\00_PrjManagement\"/>
    </mc:Choice>
  </mc:AlternateContent>
  <xr:revisionPtr revIDLastSave="0" documentId="13_ncr:1_{C4D58D15-7E04-4916-8A76-32A8A9B33473}" xr6:coauthVersionLast="47" xr6:coauthVersionMax="47" xr10:uidLastSave="{00000000-0000-0000-0000-000000000000}"/>
  <bookViews>
    <workbookView xWindow="-28920" yWindow="1770" windowWidth="29040" windowHeight="15840" activeTab="3" xr2:uid="{00000000-000D-0000-FFFF-FFFF00000000}"/>
  </bookViews>
  <sheets>
    <sheet name="Metadata" sheetId="3" r:id="rId1"/>
    <sheet name="SDV_8217" sheetId="1" r:id="rId2"/>
    <sheet name="SRS_SDV_8217" sheetId="2" r:id="rId3"/>
    <sheet name="SDV_2017" sheetId="4" r:id="rId4"/>
    <sheet name="SRS_SDV_2017"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 r="A2" i="2" s="1"/>
  <c r="A15" i="2" a="1"/>
  <c r="A15" i="2" s="1"/>
  <c r="A16" i="2" a="1"/>
  <c r="A16" i="2" s="1"/>
  <c r="A17" i="2" a="1"/>
  <c r="A17" i="2" s="1"/>
  <c r="A18" i="2" a="1"/>
  <c r="A18" i="2" s="1"/>
  <c r="A19" i="2" a="1"/>
  <c r="A19" i="2" s="1"/>
  <c r="A20" i="2" a="1"/>
  <c r="A20" i="2" s="1"/>
  <c r="A21" i="2" a="1"/>
  <c r="A21" i="2" s="1"/>
  <c r="A22" i="2" a="1"/>
  <c r="A22" i="2" s="1"/>
  <c r="A23" i="2" a="1"/>
  <c r="A23" i="2" s="1"/>
  <c r="A24" i="2" a="1"/>
  <c r="A24" i="2" s="1"/>
  <c r="A25" i="2" a="1"/>
  <c r="A25" i="2" s="1"/>
  <c r="A26" i="2" a="1"/>
  <c r="A26" i="2" s="1"/>
  <c r="A27" i="2" a="1"/>
  <c r="A27" i="2" s="1"/>
  <c r="A28" i="2" a="1"/>
  <c r="A28" i="2" s="1"/>
  <c r="A29" i="2" a="1"/>
  <c r="A29" i="2" s="1"/>
  <c r="A30" i="2" a="1"/>
  <c r="A30" i="2" s="1"/>
  <c r="A31" i="2" a="1"/>
  <c r="A31" i="2" s="1"/>
  <c r="A32" i="2" a="1"/>
  <c r="A32" i="2" s="1"/>
  <c r="A3" i="2" a="1"/>
  <c r="A3" i="2" s="1"/>
  <c r="A4" i="2" a="1"/>
  <c r="A4" i="2" s="1"/>
  <c r="A5" i="2" a="1"/>
  <c r="A5" i="2" s="1"/>
  <c r="A6" i="2" a="1"/>
  <c r="A6" i="2" s="1"/>
  <c r="A7" i="2" a="1"/>
  <c r="A7" i="2" s="1"/>
  <c r="A8" i="2" a="1"/>
  <c r="A8" i="2" s="1"/>
  <c r="A9" i="2" a="1"/>
  <c r="A9" i="2" s="1"/>
  <c r="A10" i="2" a="1"/>
  <c r="A10" i="2" s="1"/>
  <c r="A11" i="2" a="1"/>
  <c r="A11" i="2" s="1"/>
  <c r="A12" i="2" a="1"/>
  <c r="A12" i="2" s="1"/>
  <c r="A13" i="2" a="1"/>
  <c r="A13" i="2" s="1"/>
  <c r="A14" i="2" a="1"/>
  <c r="A14" i="2" s="1"/>
  <c r="E12" i="2" a="1"/>
  <c r="E3" i="5" a="1"/>
  <c r="E10" i="2" a="1"/>
  <c r="E27" i="2" a="1"/>
  <c r="E31" i="2" a="1"/>
  <c r="E17" i="2" a="1"/>
  <c r="E13" i="2" a="1"/>
  <c r="E6" i="2" a="1"/>
  <c r="E30" i="2" a="1"/>
  <c r="E22" i="2" a="1"/>
  <c r="E5" i="5" a="1"/>
  <c r="E25" i="2" a="1"/>
  <c r="E5" i="2" a="1"/>
  <c r="E7" i="2" a="1"/>
  <c r="E23" i="2" a="1"/>
  <c r="E4" i="2" a="1"/>
  <c r="E24" i="2" a="1"/>
  <c r="E28" i="2" a="1"/>
  <c r="E18" i="2" a="1"/>
  <c r="E32" i="2" a="1"/>
  <c r="E4" i="5" a="1"/>
  <c r="E2" i="2" a="1"/>
  <c r="E29" i="2" a="1"/>
  <c r="E3" i="2" a="1"/>
  <c r="E16" i="2" a="1"/>
  <c r="E21" i="2" a="1"/>
  <c r="E8" i="2" a="1"/>
  <c r="E14" i="2" a="1"/>
  <c r="E9" i="2" a="1"/>
  <c r="E19" i="2" a="1"/>
  <c r="E20" i="2" a="1"/>
  <c r="E11" i="2" a="1"/>
  <c r="E26" i="2" a="1"/>
  <c r="E15" i="2" a="1"/>
  <c r="E2" i="5" a="1"/>
  <c r="E5" i="5" l="1"/>
  <c r="E4" i="5"/>
  <c r="E3" i="5"/>
  <c r="E2" i="5"/>
  <c r="B3" i="3"/>
  <c r="E30" i="2"/>
  <c r="E32" i="2"/>
  <c r="E31" i="2"/>
  <c r="E28" i="2"/>
  <c r="E27" i="2"/>
  <c r="E25" i="2"/>
  <c r="E26" i="2"/>
  <c r="E24" i="2"/>
  <c r="E23" i="2"/>
  <c r="E22" i="2"/>
  <c r="E29" i="2"/>
  <c r="E21" i="2"/>
  <c r="E20" i="2"/>
  <c r="E19" i="2"/>
  <c r="E18" i="2"/>
  <c r="E17" i="2"/>
  <c r="E16" i="2"/>
  <c r="E15" i="2"/>
  <c r="E3" i="2"/>
  <c r="E9" i="2"/>
  <c r="E13" i="2"/>
  <c r="E12" i="2"/>
  <c r="E8" i="2"/>
  <c r="E11" i="2"/>
  <c r="E10" i="2"/>
  <c r="E7" i="2"/>
  <c r="E5" i="2"/>
  <c r="E4" i="2"/>
  <c r="E14" i="2"/>
  <c r="E6" i="2"/>
  <c r="E2" i="2"/>
  <c r="A2" i="5" l="1" a="1"/>
  <c r="A2" i="5" s="1"/>
  <c r="A3" i="5" a="1"/>
  <c r="A3" i="5" s="1"/>
  <c r="A4" i="5" a="1"/>
  <c r="A4" i="5" s="1"/>
  <c r="A5" i="5" a="1"/>
  <c r="A5" i="5" s="1"/>
  <c r="B4"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<sst xmlns="http://schemas.openxmlformats.org/spreadsheetml/2006/main" count="482" uniqueCount="274">
  <si>
    <t>Description</t>
  </si>
  <si>
    <t>SPM_0001</t>
  </si>
  <si>
    <t>Mechatronic devices SHALL have a single software entity for both Software Manager and Power Manager.</t>
  </si>
  <si>
    <t>SWCD --&gt; CDD with two periodic runnables: one for Software Manager Main fucntion the oether for Power Manager</t>
  </si>
  <si>
    <t>SPM_0002</t>
  </si>
  <si>
    <t>SPM SHALL directly use the standard AUTOSAR BSW stack to accomplish the following standard wakeup and shutdown requests:
• SDV2 Wakeup Frame (frame definition details covered in SDV-2017)
• TC10 Wakeups sent directly from MCU to its Ethernet port</t>
  </si>
  <si>
    <t>Configuration of the RTA-CAR Project with Can and Ethernet Stack and allows the integration of the SPM in that scenario.</t>
  </si>
  <si>
    <t>SPM_0003</t>
  </si>
  <si>
    <t>SPM SHALL utilize the DeviceCustomWakeup interface to the Hardware Power Function (“Helper App”) to accomplish the required wakeup and shutdown requests not handled through the BSW Stack.</t>
  </si>
  <si>
    <t>SPM is only a coordinator of wake-up frame traffic. No action about Shutdown and Wake-up prcedure are in charge to it.</t>
  </si>
  <si>
    <t>SPM_0004</t>
  </si>
  <si>
    <t>The DeviceCustomWakeup interface SHALL consist of a bitfield 64 bits long between the Power Manager and the Wakeup Helper Function to represent requests for hardware activation</t>
  </si>
  <si>
    <t>SPM_0005</t>
  </si>
  <si>
    <t>The bitfield SHALL follow the bit definitions specific for the Wakeup Frame in SDV-2017.</t>
  </si>
  <si>
    <t>Refer here</t>
  </si>
  <si>
    <t>SPM_0007</t>
  </si>
  <si>
    <t>The Hardware Power Function SHALL deactivate its output functions if the DeviceCustomInterface interface has not been registered with ControlRequest = Hardware Activation Requested within a calibratable period of time.</t>
  </si>
  <si>
    <t>Need to clarification from customer. Doubt is:
1. Is in scope to SPM configuration or out-of-scope</t>
  </si>
  <si>
    <t>SPM_0008</t>
  </si>
  <si>
    <t>Hardware Power Function code is expected to vary across the different mechatronic deployments. Each deployment SHALL specify which of the HardwareEntity enumerations it supports activating</t>
  </si>
  <si>
    <t>SPM_0009</t>
  </si>
  <si>
    <t>The Hardware Power Function deployments in builds connected to the SDV2 CAN Wakeup Line SHALL support reception of the SDV2 Wakeup Frame and perform the wakeup functions corresponding to the pertinent bits as described in SDV-2017.</t>
  </si>
  <si>
    <t>Refere here.
The desing decision is to keep the SPM has CanIf upper layer. The reference to the CanIf Pdu are configuration parameters in SPM configuration.</t>
  </si>
  <si>
    <t>SPM_0010</t>
  </si>
  <si>
    <t>SUM SPM SHALL provide a sender receiver interface SPM_LossOfNodeIndication_Ifc as described below to provide Loss of Node Indication on-change to SUM SSFM that in turn sets/clears a Loss Of Node DTC. The on-change behavior means that the interface publishes only the node dtc/status that has changed since the last time the interface was published.
dataElement associated to the SPM_LossOfNodeIndication_Ifc interface:
SPM_LossOfNodeIndication_Ifc.DataElement{
uint16* nodeDtcCodeValue, // 2 bytes DTC Code Value
uint8* nodeStatus, // LOST: Node is lost, RECOVERED: Node is not lost
uint16 nodeListLength // Node List length
}
Where:
enum nodeStatus {
LOST = 0x00,
RECOVERED = 0x01
}</t>
  </si>
  <si>
    <t>SPM_0011</t>
  </si>
  <si>
    <t xml:space="preserve">SUM SPM SHALL provide a client server operation SPM_GetDTCIdentifier as described below to enable SUM SSFM to obtain the DTC identifier (2-bytes DTC code value) associated with an IP address in the Power Graph. This value will be used to facilitate the proper Loss Of Node, Loss of Function, and Invalid Data DTC setting. SPM_GetDTCIdentifier operation signature: 
-API Name: SPM_GetDTCIdentifier 
- Syntax Void SPM_GetDTCIdentifier ( uint32 ipAddress, uint16* dtcCodeValue )Parameters (in)
ipAddress: 4 bytes IP address Parameters (inout) None Parameters (out)
dtcCodeValue: 2 bytes DTC Code Value Return Value None
</t>
  </si>
  <si>
    <t>SPM_0012</t>
  </si>
  <si>
    <t>The SPM SHALL ignore any Compute Resource information conveyed in an Activation Profile request.</t>
  </si>
  <si>
    <t>No need to be configured.</t>
  </si>
  <si>
    <t>SPM_0019</t>
  </si>
  <si>
    <t>SUM_SSM SHALL implement a port, PermitExecution, which can receive notification from SUM_SUSD to execute its functions or prepare for shutdown. RATIONALE: SUM_SPM should only execute when the ECU infrastructure services are ready. SUM_SUSD determines this for all applications.
SUM_SPM may use the configuration SPM_PermitExection_Mask in its logic to allow configuration of which PermitExectution bits are considered to trigger a start of its functions.
RATIONALE: Allow changes to the required bits in the SUSD_SPM_PermitExecution interface to be configured without requiring further SW logic changes.</t>
  </si>
  <si>
    <t>SUSD is providing the information about ECU HW resource status. SPM configure the information about which element in the PermitExecution bit map are necessary to be checked for being executed.</t>
  </si>
  <si>
    <t>SPM_0020</t>
  </si>
  <si>
    <t>If SUM_SPM has no project specific dependency on HW, then SUM_SPM SHALL start execution of its functions when the Wakeup(s) Active bit in the SUSD_SPM_PermitExecution interface is TRUE</t>
  </si>
  <si>
    <t>Specific use case of the previous desing decision and requirements.</t>
  </si>
  <si>
    <t>SPM_0021</t>
  </si>
  <si>
    <t>When the ECU Reset bit in the PermitExecution bit is FALSE, then SUM_SPM SHALL set its ShutdownPermission to Enable to support ECU reprogramming.</t>
  </si>
  <si>
    <t>Shutdown permission from SPM is a rolling counter. If counter is FULL-SCALE (0xFFu), then SPM is currently voting for going in shutdown.</t>
  </si>
  <si>
    <t>SPM_0022</t>
  </si>
  <si>
    <t>The SPM SHALL use the PDU meta-data to store/retrieve the remote address of the PDU before the PDU transmission / after the PDU reception respectively instead of using the Set/GetRemoteAddress APIs from SoAd module.</t>
  </si>
  <si>
    <t>The metadata should be directly managed by S/R communication with RTE. The communication in RTE plugin has been selected for SOME-IP communication.
At the moment RTE does not support the metadata handling, So that a SPM callout is implemented for each SPM configured PDU in Tx. The callout attach the metadata to the Pdus before Com forwarding them to the PduR. Tha callout needs to be configured in the COM module.</t>
  </si>
  <si>
    <t>SPM_0023</t>
  </si>
  <si>
    <t>Heartbeat deadline monitoring Shall be managed within the SPM.
RATIONALE: The heartbeat is a single PDU that is used to receive heartbeats from multiple remote nodes with different source ID. Therefore, the SPM would need to keep track of each remote node’s heartbeat se</t>
  </si>
  <si>
    <t>SPM acts as Master/Subordinate
- As Master: start DTC Timer for target Device as soon as target wake-up frame has been sent (positive return value of function and Tx confirmation)
- As Subordinate: Start the DTC Timer for waking device (configured as a Target device in Pgtt without waking path) as soon as a request comes to SPM by SM frame.
If DTC timer reaches the Timeout for a target Device, the LostOfCom with Nod eis set.</t>
  </si>
  <si>
    <t>SPM_0024</t>
  </si>
  <si>
    <t>The SPM communication through the RTE SHALL be conveyed through 4 different PDUs as described below:
❑ One Rx PDU assigned to local multicast group referred to as “SPM_HB_Rx“.
▪ Used to receive the Heartbeat
▪ Remote address is retrieved at runtime after the PDU reception
▪ Fixed Local port number for the PM traffic as defined in SDV-2017
❑ One unicast Rx PDU assigned to local unicast address referred to as “SPM_Rx“
▪ Used to receive the Activate/De-activate/PP_Status messages
▪ Remote address is retrieved at runtime after the PDU reception
▪ Fixed Local port number for the PM traffic as defined in SDV-2017
❑ One Tx PDU assigned to local unicast address referred to as: “SPM_Tx”
▪ Used to transmit the Activate/De-activate/PP_Status/Req_Ack
▪ Remote address is set at runtime before the PDU transmission
▪ Fixed remote port number for the PM traffic as defined in SDV-2017
❑ One Tx PDU assigned to local unicast address referred to as: “SPM_HB_Tx”
▪ Used to transmit the Heartbeat messages
▪ Remote address is set as the multicast address
▪ Fixed remote port number for the PM traffic as defined in SDV-2017</t>
  </si>
  <si>
    <t>SPM_0025</t>
  </si>
  <si>
    <t>SPM SHALL transmit and receive the Wakeup Frames using the AUOTSAR stack on:
1. Ethernet.
2. CAN if the device is connected to the Wakeup CAN Network</t>
  </si>
  <si>
    <t>CAN --&gt; CanIf and CanSM
ETH --&gt; EthSM, UdpNM (?), EthIf, SoAd, TcpIp</t>
  </si>
  <si>
    <t>SPM_0026</t>
  </si>
  <si>
    <t>SPM SHALL transmit the Wakeup Frame setting the appropriate bits every 10ms</t>
  </si>
  <si>
    <t>Static Configuration of the SPM PM main Function periodicity</t>
  </si>
  <si>
    <t>SPM_0027</t>
  </si>
  <si>
    <t>When transmitting the Wakeup Frame, SPM SHALL set the bits by applying “OR” logic to the following:
1. the bits required based on internal requests from the Power Graph Traversal Table.
2. the bits received from any incoming Wakeup Frame (either CAN or Ethernet) that has been received since the last time SPM transmitted the Wakeup Frame.
Example if the Wakeup Frame was 4 bits in length: internal requests (0100) OR Rx Wakeup Frame 1 (0001) OR RX Wakeup Frame 2 (1000) = Tx Wakeup Frame (1101)</t>
  </si>
  <si>
    <t>SPM_0028</t>
  </si>
  <si>
    <t>SPM SHALL send the same bitfield to the Wakeup Helper Function as sent to the Wakeup Frame (in the same software execution cycle).</t>
  </si>
  <si>
    <t>SPM_0031</t>
  </si>
  <si>
    <t>SUM SPM SHALL do the following when attempting to activate an activation profile:
1. Find if the profile dependencies are remotely provided services by using the Sd_GetNodeAddress API defined in SDV-8201. If the IP Address is found for these dependencies, the SPM sends a remote ACTIVATE command as defined in SDV-2017.
2. For the profile dependencies that are local AND the profile dependencies that are remote with the activation status received as “ACTIVATED”, SPM uses the SUM SrvcMgr client server operation SrvcMgr_ActivateServices defined in SDV-8201 to activate the profile dependencies.
3. For every profile dependency in Step 2:
a) If the return value of the service activation operation SrvcMgr_ActivateServices is E_OK_LOCAL_ENABLED or E_OK_REMOTE_ENABLED, SPM enables the corresponding PDU-Group for that service.
b) If the service is unknown or calibrated off (return value is E_DISABLED or E_NOT_OK) the SPM skips activating PDUs for this dependency.</t>
  </si>
  <si>
    <t>SPM_0032</t>
  </si>
  <si>
    <t>SUM SPM SHALL do the following when attempting to de-activate an activation profile:
1. Find if the profile dependencies are remotely provided services by using the Sd_GetNodeAddress API defined in SDV-8201. If the IP Address is found for these dependencies, the SPM sends a remote DE-ACTIVATE command as defined in SDV-2017.
2. For the profile dependencies that are local AND the profile dependencies that are remote with the de-activation status received as “DEACTIVATED”, SPM uses the SUM SrvcMgr client server operation SrvcMgr_ActivateServices defined in SDV_8201 to de-activate the profile dependencies.
3. For every profile dependency in Step 2:
a) If the return value of the service de-activation operation SrvcMgr_ActivateServices is E_OK_LOCAL_ENABLED or E_OK_REMOTE_ENABLED, SPM disables the corresponding PDU-Group for that service.
b) If the service is unknown or calibrated off (return value is E_DISABLED or E_NOT_OK) the SPM skips deactivating PDUs for this dependency.</t>
  </si>
  <si>
    <t>SPM_0033</t>
  </si>
  <si>
    <t>SUM SPM SHALL provide a sender receiver interface SPM_ServiceActivationStatusNotification_Ifc as described below to provide Indication to other SUMs (SSFM, SSC ..etc.) about the activated service list and if setting a DTC is allowed based on DTC suppression Timer as defined in SDV-8002. SUM SSFM uses that to determine services to start monitoring and when to inhibit setting of DTCs (Loss of Function, invalid data…etc). SPM_ServiceActivationStatusNotification_Ifc interface dataElement definition:
SPM_ServiceActivationStatusNotification_Ifc.DataElement{
Uint16* serviceIdList, // List of Services Activated
bool* dtcAllowedList, // List of DTC Allowed Boolean
uint16 listLength // Length of the 2 output lists
}
NOTE: The dtcAllowed flag will be set to true by default and will never change. There is no plan to use this flag in the initial usage of the SPM because the SPM waits for the status of the activated activation profile to be “ACTIVATED” before activating the services and the PDU groups as specified in [SPM_0031] and [SPM_0032]
NOTE: The list will maintain the up to date active services list at any point in time and should not change in the case of losing the Heartbeat of a remote device with a profile that the local SPM has activated (i.e. Loss of Node DTC should not affect this interface so that the Loss of Function can occur)</t>
  </si>
  <si>
    <t>SPM_0034</t>
  </si>
  <si>
    <t>SUM SPM SHALL interact with the Ethernet StateManager (EthSM) to trigger the transmission of a TC10 wakeup pulse.</t>
  </si>
  <si>
    <t>Under Discussion with the Etas Ethernet Team</t>
  </si>
  <si>
    <t>SPM_0035</t>
  </si>
  <si>
    <t>The SPM SHALL provide an API SPM_ActivateProfile to allow local SWCs to activate profiles. The return value SHALL be E_NOT_OK if the profile is unknown for the SPM. SPM_ActivateProfile operation signature: API Name
SPM_ActivateProfile Syntax Std_ReturnType SPM_ActivateProfile ( uint32 profileId ) Parameters (in)
profileId: 4 bytes profile Id Parameters (inout) None Parameters (out)
None Return Value Std_ReturnType (E_OK, E_NOT_OK)</t>
  </si>
  <si>
    <t>SPM_0036</t>
  </si>
  <si>
    <t>The SPM SHALL provide an API SPM_DeactivateProfile to allow local SWCs to deactivate profiles. The return value SHALL be E_NOT_OK if the profile is unknown for the SPM. SPM_DeactivateProfile operation signature: API Name
SPM_DeactivateProfile Syntax Std_ReturnType SPM_DeactivateProfile ( uint32 profileId ) Parameters (in)
profileId: 4 bytes profile Id Parameters (inout) None Parameters (out)
None Return Value Std_ReturnType (E_OK, E_NOT_OK)</t>
  </si>
  <si>
    <t>SPM_0037</t>
  </si>
  <si>
    <t>The SPM module SHALL maintain for different links (physical or virtual links) a separate configuration instance within the SPM configuration.
RATIONALE: To allow SPM to support ECUs that are connected to more than one ethernet link.</t>
  </si>
  <si>
    <t>This can be done in the configuration of the Power Graph Traversal Table in the SPM container. The mapping between Power Profile and Target Device is done at run-time:
1. evaluating the possibility to have a buffer or 
2. checking each time the Sd table
gm will provide an input in order to map with a multiplicity 1-to-1 a waking Device with a Target Device. So that it is not required to modify the configuration in order to map a power profile to a Waking Device Ip</t>
  </si>
  <si>
    <t>SPM_0038</t>
  </si>
  <si>
    <t>SUM_SPM SHALL implement a port, ShutdownPermission, that publishes notification to
SUM_SUSD to control the disable or enable of shutting down the ECU.</t>
  </si>
  <si>
    <t>As other SUMs</t>
  </si>
  <si>
    <t>SPM_0039</t>
  </si>
  <si>
    <t>If at least one Profile in the ECU is active, then SUM_SPM SHALL set the status of ShutdownPermission to disabled. If no Profiles in the ECU are active, then SUM_SPM shall set the status of ShutdownPermisison to enabled.
RATIONALE: If there is any active Profile, then the ECU should not shut down.</t>
  </si>
  <si>
    <t>Check in SM main function. The SM main function is implemented as a Finite State Machine. SM is in running state when SUSD requests the execution of the SPM functionalities and SPM stays in running still a local power profile has on-going activities.
Activities on Power Profile for the SPM instance can be detected reading the status of the Power Profile Management Finite state Machine or using a local buffer that stores the History or the current status of activities on Power profiles.</t>
  </si>
  <si>
    <t>SPM_0040</t>
  </si>
  <si>
    <t>SPM SHALL ensure that all received requests are handled and not overwritten or dropped RATIONALE: All SM/PM traffic will be received on the same PDU so must be retrieved/stored prior to the next one being received.</t>
  </si>
  <si>
    <t>The SPM port to Send/Receive SM Pdu signals are hanlded by a queued communication. The queue size depends from SPM configuration from power profiles</t>
  </si>
  <si>
    <t>Helper function is a callout from SPM perspective. Helper function is really project-specific, so that SPM  can handle it allowing the confgiuration of the callout function name in SPM configuration. The callout signature shall take as input the 64 bits of the SPM generated wake-up frame according to external and internal request.</t>
  </si>
  <si>
    <t>SysArchReqID</t>
  </si>
  <si>
    <t>Design Notes</t>
  </si>
  <si>
    <t>SRS</t>
  </si>
  <si>
    <t>Requirement Source</t>
  </si>
  <si>
    <t>Requirement Status</t>
  </si>
  <si>
    <t>Requirement Revision</t>
  </si>
  <si>
    <t>Requirement Tracking</t>
  </si>
  <si>
    <t>Validation Technique</t>
  </si>
  <si>
    <t>Customer Spec Track</t>
  </si>
  <si>
    <t>Accepted</t>
  </si>
  <si>
    <t>Num Of Reqs</t>
  </si>
  <si>
    <t>Doc</t>
  </si>
  <si>
    <t>SDV_8217</t>
  </si>
  <si>
    <t>SDV_2017</t>
  </si>
  <si>
    <t>SDV_8201</t>
  </si>
  <si>
    <t>SDV_8002</t>
  </si>
  <si>
    <t>SDVA-4216</t>
  </si>
  <si>
    <t>SDVA-4217</t>
  </si>
  <si>
    <t>Milestone</t>
  </si>
  <si>
    <t>SDVA-4254</t>
  </si>
  <si>
    <t>SDVA-5416</t>
  </si>
  <si>
    <t>SDVA-5417</t>
  </si>
  <si>
    <t>SDVA-5418</t>
  </si>
  <si>
    <t>SDVA-5419</t>
  </si>
  <si>
    <t>SDVA-5420</t>
  </si>
  <si>
    <t>SDVA-5421</t>
  </si>
  <si>
    <t>SDVA-5422</t>
  </si>
  <si>
    <t>SDVA-5423</t>
  </si>
  <si>
    <t>SDVA-5424</t>
  </si>
  <si>
    <t>SDVA-5425</t>
  </si>
  <si>
    <t>SDVA-5428</t>
  </si>
  <si>
    <t>SDVA-5429</t>
  </si>
  <si>
    <t>SDVA-5430</t>
  </si>
  <si>
    <t>SDVA-5431</t>
  </si>
  <si>
    <t>SDVA-5432</t>
  </si>
  <si>
    <t>SDVA-5433</t>
  </si>
  <si>
    <t>SDVA-5434</t>
  </si>
  <si>
    <t>Activation Profile Management</t>
  </si>
  <si>
    <t>WHEN SPM receives an Activation Request for Profile &lt;X&gt; and Profile &lt;X&gt; is in Inactive State, the SPM:
• Add the Requester ID to the List of Requester for Profile &lt;X&gt;
• Set the Profile &lt;X&gt; State to Activating.</t>
  </si>
  <si>
    <t>SPM maintains a list of Requester Nodes for each managed Profile</t>
  </si>
  <si>
    <t>WHEN SPM receives a Deactivation Request for Profile &lt;X&gt; and Profile &lt;X&gt; is in Inactive State, the SPM takes no action on Profile &lt;X&gt; state value.</t>
  </si>
  <si>
    <t>WHEN SPM receives a Deactivation Request for Profile &lt;X&gt; and Profile &lt;X&gt; is in Activating State, the SPM:
• Remove the Requetser ID from Requester List for Profile &lt;X&gt; AND check the actual size of the Requester List
        • IF Requester List Size is 0, THEN SPM sets the Profile &lt;X&gt; State to Deactivating
        • ELSE SPM does not change the Profile &lt;X&gt; state
WHILE Profile &lt;X&gt; is in Activating state, SPM:
   1. Activating profile dependencies (local and remote)
   2. Performing activating step retry policy WHEN dependencies did not activate.</t>
  </si>
  <si>
    <t>WHEN SPM receives an Activation Request for Profile &lt;X&gt; and Profile &lt;X&gt; is in Activating State, the SPM:
• Add the Requester ID to Requester List for Profile &lt;X&gt;
WHILE Profile &lt;X&gt; is in Activating state, SPM:
   1. Activating profile dependencies (local and remote)
   2. Performing activating step retry policy WHEN dependencies did not activate.</t>
  </si>
  <si>
    <t>WHEN Profile &lt;X&gt; is in Activating State AND the profile-owning software entity itself is activated, the SPM set the Profile &lt;X&gt; state to Activated</t>
  </si>
  <si>
    <t>WHEN SPM receives an Activation Request for Profile &lt;X&gt; AND Profile &lt;X&gt; is in Activated State, the SPM:
• Add the Requester ID to Requester List for Profile &lt;X&gt;
WHEN SPM receives an Activation Request for Profile &lt;X&gt; AND Profile &lt;X&gt; is in Activated State, the SPM:
• Remove the Requetser ID from Requester List for Profile &lt;X&gt; AND check the actual size of the Requester List
        • IF Requester List Size is 0, THEN SPM sets the Profile &lt;X&gt; State to Deactivating
        • ELSE SPM does not change the Profile &lt;X&gt; state
WHILE Profile &lt;X&gt; is in Activated state, SPM:
   1. Monitor the Status of the remote node that hosts the SM that activated any Profile &lt;X&gt; remote dependency
   2. Monitor the remote Profile &lt;X&gt; activated dependencies status
   3. Apply retry policy for activating the not-yet activated dependency as per SDV-5431</t>
  </si>
  <si>
    <t xml:space="preserve">WHEN SPM receives an Activation Request for Profile &lt;X&gt; AND Profile &lt;X&gt; is in Deactivating State, the SPM:
• Add the Requester ID to Requester List for Profile &lt;X&gt;
• Sets the Profile &lt;X&gt; state value to Activating IF Profile &lt;X&gt; Requester List is not empty
</t>
  </si>
  <si>
    <t xml:space="preserve">
WHILE Profile &lt;X&gt; is in Deactivating state, SPM:
1. Deactivating the profile owning software entity AND Requesting deactivation for all profile dependencies, including to apply the retries until the request has been confirmed.
WHEN Profile &lt;X&gt; is Deactivating AND SPM detects all dependencies (local and remote) and the owning software entity Deactivated, SPM:
• Sets the Profile &lt;X&gt; state value to Inactive IF Profile &lt;X&gt; Requester List is empty
</t>
  </si>
  <si>
    <t>WHEN the state of a profile changes, the SM SHALL notify all the activation requesters of the updated profile state via the REQ_STATUS_PROF_STATE
message of the SM communication frame</t>
  </si>
  <si>
    <t>Profile Activation Request Interaction</t>
  </si>
  <si>
    <t>Profile activation request to a SM SHALL be made using the ActivateProfile method by passing the IDs of the requested profiles. Multiple profiles MAY be
requested in one request.</t>
  </si>
  <si>
    <t>Each SM SHALL also provide a RequestStatusProfileState interface to allow the SM to communicate the request status as well as the updated profile state to local and remote activation requesters</t>
  </si>
  <si>
    <t>Upon receiving an activation request, the SM SHALL first determine if the request is valid and permitted.
This determination SHALL be performed separately for each profile requested.
• IF the request is determined to be valid and permitted, then the SM SHALL add the requester to the list of requesters for     the requested profiles. 
• IF  the requester was already on the requester list for that profile, then it does not need to be added again. 
         ◘The SM SHALL also use MonitorDevice method to its local PM to request monitoring of a remote requester. 
         ◘The profile state SHALL be updated appropriately based on the request.   
         ◘The SM SHALL provide feedback to the requester using the RequestStatusProfileState interface.
• If the request is determined to be invalid or not permitted, then the SM SHALL provide feedback to the requester using the RequestStatusProfileState interface, specifying the appropriate reject reason in the Request Status field and the appropriate profile state in the Profile State field.
         ◘ If the reject reason is REJECTED_PROFILE_UNKNOWN or REJECTED_LACK_OF_PERMISSION, then the Profile  State provided SHALL be UNKNOWN.
         ◘If the reject reason is otherwise, then the Profile State provided SHALL be the actual state of the profile.</t>
  </si>
  <si>
    <t>The requesting SM SHALL retry sending the same ActivationProfile requests at a calibratable interval when no response is received, or the request is rejected. The calibration value MAY be dependent on the reject reason. But this is to be determined by the domain specific requirements. When retry is permitted, the SM can continue retry for as long as the activation criterion for the profile is still met</t>
  </si>
  <si>
    <t>SM SHALL activate a profile by
• activating the swEntity associated with the profile
• activating the network communication for the swEntity associated with the profile
• activating local swEntities specified as dependencies in the profile
• activating hardware specified as dependencies in the profile
• requesting activation of any remote swEntities specified as dependencies in the profile to the remote SM responsible for these remote swEntities</t>
  </si>
  <si>
    <t>A profile SHALL transition into the Activated state as soon as the swEntity associated with the profile and its network communication are both activated.
The activation of dependencies can continue in this activated state. Note that it is possible that a dependency cannot be activated for some reason. The SM is not responsible for setting any error codes related to this condition</t>
  </si>
  <si>
    <t>To activate HW dependencies, the SM SHALL make PowerOnDevice requests to its local PM, specifying the IDs of the hardware devices in the request.
The PM would then activate the device and provide updated device state via the DevicePowerState message to the SM.</t>
  </si>
  <si>
    <t>Profile Activation</t>
  </si>
  <si>
    <t>To activate a remote software dependency, the SM SHALL make ActivateProfile request to the remote SM that's responsible for that remote swEntity.
However, it will only do so after first waking up the remote host that hosts this remote SM. The process follows the following steps:
 1. SM determines the IP address of the remote SM based on the ID of the software dependency.
 2. SM requests wakeup of this IP address through its local PM using the PowerOnDevice request, specifying the IP address in the request. It also subscribes to the state of the remote host through the DevicePowerState topic published by the PM
 3. PM conducts the wake up and provides the updated status of this remote host to the SM. This status is derived based on the heartbeat of the
remote host
4. When the remote host is awake, SM sends the ActivateProfile request to the remote SM. Note here that if the remote host is already awake, then the SM would be able to send the request immediately in parallel while the PM is performing the wakeup assertion.
         • The wakeup assertion is always perform required to ensure that the remote host stays awake
 5. SM will continue to retry any activation that does not succeed</t>
  </si>
  <si>
    <t>SDVA-5385</t>
  </si>
  <si>
    <t>PGTT</t>
  </si>
  <si>
    <t xml:space="preserve">The Waking Device field is used to identify rows of the table that are pertinent to a specific PM. It is required to be supported by devices that take advantage of a common, vehicle-wide PGTT calibration. 
The PM SHALL:
1. treat the Waking Device field as a 4 byte value representing the PM IP Address.
2. only execute wakeup commands from PGTT entries that have its own IP Address represented in the Waking Device field.
 </t>
  </si>
  <si>
    <t>SDVA-5387</t>
  </si>
  <si>
    <t>The PM SHALL treat the Target Device Field as a 4 byte value representing either:
1. the IP address of the device to be woken up when that device has a PM OR
2. as a value defined elsewhere in this specification that is distinguishable from IP addresses and represents the device to be woken up when that device does not have a PM.
3. send the activation/deactivation command(s) from the PGTT row(s) where the Target Device field matches the device communicated in the PowerOnDevice and PowerOff Device requests.</t>
  </si>
  <si>
    <t>SDVA-5388</t>
  </si>
  <si>
    <t>SDVA-5389</t>
  </si>
  <si>
    <r>
      <t>There are cases where the device to be woken up is more than one PM away from the waking device in the Power Graph.</t>
    </r>
    <r>
      <rPr>
        <b/>
        <sz val="11"/>
        <color theme="1"/>
        <rFont val="Calibri"/>
        <family val="2"/>
        <scheme val="minor"/>
      </rPr>
      <t xml:space="preserve"> In these cases, the Waking PM will need to (de)activate multiple PMs in sequence</t>
    </r>
    <r>
      <rPr>
        <sz val="11"/>
        <color theme="1"/>
        <rFont val="Calibri"/>
        <family val="2"/>
        <scheme val="minor"/>
      </rPr>
      <t>. The necessary commands will be identified sequentially using the Wakeup Sequence field. The PM SHALL treat the Wakeup Sequence field as a 1 byte value representing the order of wakeup command execution.
Each Sequence entry will have a corresponding Wakeup Command Field.</t>
    </r>
  </si>
  <si>
    <t>SDVA-5390</t>
  </si>
  <si>
    <t>The PM SHALL: 
1. treat the Wakeup Command as a 1 byte value representing an enumeration of wakeup commands described below.
2. send/stop sending the command corresponding to the enumerated value found in the Wakeup Command field.</t>
  </si>
  <si>
    <t>Each Sequence entry MAY have a corresponding Wakeup Step Delay Field if intermediate nodes need time before processing further commands.
The PM SHALL treat the Wakeup Step Delay Field as a 2 byte value representing a time delay in milliseconds before proceeding to the next step in the PowerOnDevice Sequence.</t>
  </si>
  <si>
    <t>SDVA-5391</t>
  </si>
  <si>
    <t>The enumerations of the Wakeup Command Field SHALL be defined as follows: OPEN</t>
  </si>
  <si>
    <t>Loss of Node</t>
  </si>
  <si>
    <t>PM SHALL treat the Loss of Node DTC Field as a 2 byte value representing the base of the DTC to be set if the corresponding Target Device cannot be reached.</t>
  </si>
  <si>
    <t>SDVA-5392</t>
  </si>
  <si>
    <t>SDVA-5393</t>
  </si>
  <si>
    <t>PM SHALL treat the DTC Timeout as a 2 byte value representing the length of time in milliseconds to delay before the PM sets a Loss of Node DTC.</t>
  </si>
  <si>
    <t>SDVA-5394</t>
  </si>
  <si>
    <t>The following devices SHALL support the stated wakeup mechanisms:</t>
  </si>
  <si>
    <t>OUT_OF_SCOPE</t>
  </si>
  <si>
    <t>SDVA-4283</t>
  </si>
  <si>
    <t>PM SHALL provide a PowerOnDevice local interface to allow its local software manager to request devices to be powered on. 
PM SHALL only honor PowerOnDevice commands from its corresponding SM. The interface is not used to send PowerOn requests from one power manager to another or from other SMs.</t>
  </si>
  <si>
    <t>SDVA-4282</t>
  </si>
  <si>
    <t>PM SHALL power on Target Devices based on the incoming PowerOnDevice request received. Note that this means the following:
1. send the commands identified by the proper PGTT Waking and Target Device fields in the order of the Wakeup Sequence field, beginning with the value of 1.
2. wait for the Wakeup Step Delay period of time before processing the next Wakeup Command in the Sequence.
3. process all of the Sequence Steps for the given Target Device.
4. combine consecutive Wakeup Frame steps into the same transmission when the Wakeup Step Delay Field has a value of zero. e.g. Step 1 is Wakeup Frame with bit 8 set and Step 2 is Wakeup Frame with bit 6 set, result is one transmission with both bits 6 and 8 set.</t>
  </si>
  <si>
    <t>SDVA-4386</t>
  </si>
  <si>
    <t>PM SHALL always assert the wakeup for the requested host even if the host is already awake. This is to ensure that the requested host will stay awake as long as it is still required by the requesting SM.</t>
  </si>
  <si>
    <t>PM SHALL also be responsible for keeping the Target Device awake as long as the SM is still functional and has not made a PowerOffDevice request for that same Target Device.</t>
  </si>
  <si>
    <t>SDVA-4384</t>
  </si>
  <si>
    <t>HW (De)Activation</t>
  </si>
  <si>
    <t>SDVA-4387</t>
  </si>
  <si>
    <t>PM SHALL provide a PowerOffDevice local interface to allow its local SM to request powering off devices that the PM had previously powered on.</t>
  </si>
  <si>
    <t>SDVA-4388</t>
  </si>
  <si>
    <t>PM SHALL only honor PowerOffDevice commands from its corresponding SM. The interface is not used to send PowerOff requests from one power manager to another or from other SMs.</t>
  </si>
  <si>
    <t>SDVA-4389</t>
  </si>
  <si>
    <t>For each requested device, the PM SHALL keep track of all the requesters and deactivate that device only after all requesters have issued the PowerOffDevice request.</t>
  </si>
  <si>
    <t>SDVA-4390</t>
  </si>
  <si>
    <t>PM SHALL power down the host on which it is running only after receiving the PowerOffDevice method with its own address from its corresponding SM.</t>
  </si>
  <si>
    <t>SDVA-4391</t>
  </si>
  <si>
    <t>SDVA-4392</t>
  </si>
  <si>
    <t>SDVA-5380</t>
  </si>
  <si>
    <t>When powering down a device, the PM SHALL:
1. process the commands identified by the proper Waking and Target Device fields in descending Wakeup Sequence order, each separated by a calibratable period of time.
2. entries requiring a bit set: send message with zero values where 1's are required for wakeup.</t>
  </si>
  <si>
    <t>SDVA-5395</t>
  </si>
  <si>
    <t>SDVA-5396</t>
  </si>
  <si>
    <t>SDVA-5397</t>
  </si>
  <si>
    <t>PM SHALL provide a MonitorDevice interface to allow a local SM to request the monitoring of a remote hosts' status for reporting back in the DevicePowerState interface. (MonitorDevice)</t>
  </si>
  <si>
    <t>This interface SHALL also allow the SM to request stop monitoring of a host it has requested to be monitored previously. (MonitorDevice)</t>
  </si>
  <si>
    <t>DevicePowerstate</t>
  </si>
  <si>
    <t>SDVA-5398</t>
  </si>
  <si>
    <t>SDVA-4394</t>
  </si>
  <si>
    <t>SDVA-4395</t>
  </si>
  <si>
    <r>
      <t xml:space="preserve">The status of a hardware entity provided by the DevicePowerState interface SHALL be set to </t>
    </r>
    <r>
      <rPr>
        <b/>
        <sz val="11"/>
        <color theme="1"/>
        <rFont val="Calibri"/>
        <family val="2"/>
        <scheme val="minor"/>
      </rPr>
      <t>FAULTED</t>
    </r>
    <r>
      <rPr>
        <sz val="11"/>
        <color theme="1"/>
        <rFont val="Calibri"/>
        <family val="2"/>
        <scheme val="minor"/>
      </rPr>
      <t xml:space="preserve"> if: 
1. (local) the local device has been activated but is still Off (timeouts and hysteresis to be specified in the Domain-specific Specs).
2. (remote) the PM Heartbeat of a remote device is not received within the DTC Timeout length of time (defined in the PGTT) after sending the initial wakeup request.
3. (remote) the PM Heartbeat of a remote device is not received within the DTC Timeout length of time (defined in the PGTT) after an initial Heartbeat reception.</t>
    </r>
  </si>
  <si>
    <r>
      <t xml:space="preserve">The status of a hardware entity provided by the DevicePowerState interface SHALL be set to </t>
    </r>
    <r>
      <rPr>
        <b/>
        <sz val="11"/>
        <color theme="1"/>
        <rFont val="Calibri"/>
        <family val="2"/>
        <scheme val="minor"/>
      </rPr>
      <t xml:space="preserve">REBOOT </t>
    </r>
    <r>
      <rPr>
        <sz val="11"/>
        <color theme="1"/>
        <rFont val="Calibri"/>
        <family val="2"/>
        <scheme val="minor"/>
      </rPr>
      <t>if: 
1. (local) the local device has just been restarted and is not yet fully functional.
2. (remote) the PM has determined that a remote device has reset based on receiving a HeartbeatCounter value that is less than a calibratable number of counts (default 1) below the last value received during the current wake cycle. Calibration protects for situations where message drops are found to occur.</t>
    </r>
  </si>
  <si>
    <t>Miss this calibratable parameter</t>
  </si>
  <si>
    <t>SDVA-4396</t>
  </si>
  <si>
    <r>
      <t xml:space="preserve">The status of a hardware entity provided by the DevicePowerState interface SHALL be set to </t>
    </r>
    <r>
      <rPr>
        <b/>
        <sz val="11"/>
        <color theme="1"/>
        <rFont val="Calibri"/>
        <family val="2"/>
        <scheme val="minor"/>
      </rPr>
      <t xml:space="preserve">PENDING_SHUTDOWN </t>
    </r>
    <r>
      <rPr>
        <sz val="11"/>
        <color theme="1"/>
        <rFont val="Calibri"/>
        <family val="2"/>
        <scheme val="minor"/>
      </rPr>
      <t>if: 
1. (local) the local device is On but is in the process of shutting down.
2. (remote) the PM Heartbeat of a remote device is received with a powering down indication as described in the Heartbeat Functionality Section.</t>
    </r>
  </si>
  <si>
    <t>SDVA-4397</t>
  </si>
  <si>
    <r>
      <t xml:space="preserve">The status of a hardware entity provided by the DevicePowerState interface SHALL be set to </t>
    </r>
    <r>
      <rPr>
        <b/>
        <sz val="11"/>
        <color theme="1"/>
        <rFont val="Calibri"/>
        <family val="2"/>
        <scheme val="minor"/>
      </rPr>
      <t xml:space="preserve">OFF </t>
    </r>
    <r>
      <rPr>
        <sz val="11"/>
        <color theme="1"/>
        <rFont val="Calibri"/>
        <family val="2"/>
        <scheme val="minor"/>
      </rPr>
      <t>if: 
1. (local) the local device is Off.
2. (remote) the PM Heartbeat of a remote device that is no longer being sent a wakeup request from the PM is not received within the 'Ongoing' calibratable period of time.</t>
    </r>
  </si>
  <si>
    <t>SDVA-4398</t>
  </si>
  <si>
    <r>
      <t xml:space="preserve">The status of a hardware entity provided by the DevicePowerState interface SHALL be set to </t>
    </r>
    <r>
      <rPr>
        <b/>
        <sz val="11"/>
        <color theme="1"/>
        <rFont val="Calibri"/>
        <family val="2"/>
        <scheme val="minor"/>
      </rPr>
      <t xml:space="preserve">ON </t>
    </r>
    <r>
      <rPr>
        <sz val="11"/>
        <color theme="1"/>
        <rFont val="Calibri"/>
        <family val="2"/>
        <scheme val="minor"/>
      </rPr>
      <t>if: 
1. (local) the local device is operating normally and is not in any of the other states.
2. (remote) the PM Heartbeat of a remote device has been received within the DTC Timeout length of time (defined in the PGTT) and none of the other states are valid.</t>
    </r>
  </si>
  <si>
    <t>SDVA-4399</t>
  </si>
  <si>
    <r>
      <t xml:space="preserve">The status of a hardware entity provided by the DevicePowerState interface SHALL be set to </t>
    </r>
    <r>
      <rPr>
        <b/>
        <sz val="11"/>
        <color theme="1"/>
        <rFont val="Calibri"/>
        <family val="2"/>
        <scheme val="minor"/>
      </rPr>
      <t xml:space="preserve">INITIALIZING </t>
    </r>
    <r>
      <rPr>
        <sz val="11"/>
        <color theme="1"/>
        <rFont val="Calibri"/>
        <family val="2"/>
        <scheme val="minor"/>
      </rPr>
      <t>if: 
1. (local) NO CONDITIONS
2. (remote) from the time that the first wakeup request in the sequence has been sent with the Target in the Off State and the time that it reaches any of the other states.</t>
    </r>
  </si>
  <si>
    <t>SDVA-4400</t>
  </si>
  <si>
    <t>Each PM SHALL cache the state of a calibratable list of remote hosts that it works with to avoid incurring latency related to waiting for the heartbeat when the remote PM is known to be running already.</t>
  </si>
  <si>
    <t>SDVA-5382</t>
  </si>
  <si>
    <t>For setting a Loss of Node DTC, the PM SHALL:
1. set the DTC against a device when it has reached the Faulted State described above. 
2. determine the DTC parameters using the DTC Base ID provided in the PGTT and appending a Failure Type Byte</t>
  </si>
  <si>
    <t>SDVA-5013</t>
  </si>
  <si>
    <t>Once the PM starts transmitting the wakeup command to activate a Target Device, it SHALL send it at a calibratable periodic rate (default 1 second) as well as within 5ms of any change in value.</t>
  </si>
  <si>
    <t>When sending the Wakeup Frame, the PM SHALL keep track of all the bits that it has set and OR them together with each transmission (e.g. never send the Wakeup Frame with a bit set to zero for a device the PM intends to keep awake).</t>
  </si>
  <si>
    <r>
      <rPr>
        <b/>
        <sz val="11"/>
        <color theme="1"/>
        <rFont val="Calibri"/>
        <family val="2"/>
        <scheme val="minor"/>
      </rPr>
      <t>A PM on a device that has an Ethernet connection but not CAN, SHALL</t>
    </r>
    <r>
      <rPr>
        <sz val="11"/>
        <color theme="1"/>
        <rFont val="Calibri"/>
        <family val="2"/>
        <scheme val="minor"/>
      </rPr>
      <t>:
1. process the information received in the Ethernet Wakeup Frame messages if needed for its own dependendecies.
2. transmit its own Ethernet Wakeup Frame using only the values generated within, not any information from incoming Wakeup Frames.</t>
    </r>
  </si>
  <si>
    <t>SDVA-5399</t>
  </si>
  <si>
    <t>Wake Up Frame</t>
  </si>
  <si>
    <t>HeartBeat</t>
  </si>
  <si>
    <t>PM SHALL publish a periodic heartbeat per the PM Heartbeat Frame Design Section to inform remote hosts that the host where the PM resides is available for communication.</t>
  </si>
  <si>
    <t>SDVA-5014</t>
  </si>
  <si>
    <t>PM SHALL send the Heartbeat Frame with a HeartbeatCounter value of zero when any of the following are true:
1. the PM initializes and receives communication from its corresponding SM that it is ready for communication.
2. the PM and SM are fully functioning after returning from a reset or restart of any kind that would interrupt their functionality.</t>
  </si>
  <si>
    <t>After the initial transmission of a zero HeartbeatCounter value, the PM SHALL increment the HeartbeatCounter by one with each subsequent transmission of the message.</t>
  </si>
  <si>
    <t>SDVA-5015</t>
  </si>
  <si>
    <t>PM SHALL broadcast the Heartbeat message at a calibratable periodic rate for the first 3 counts (default 5ms) and a separate calibratable periodic rate for all subsequent counts (default 1 second). The periodic rate for the first three transmissions is calibrated to be faster to make sure that recipients can receive the heartbeat as quickly as possible even if the initial heartbeat is dropped.</t>
  </si>
  <si>
    <t>SDVA-4221</t>
  </si>
  <si>
    <t>PM SHALL transmit the Heartbeat message with a HeartbeatCounter value of 2^32-1 whenever it begins its power down sequence such that the periodic transmission never ceases without a shutdown indication.</t>
  </si>
  <si>
    <t>SDVA-4401</t>
  </si>
  <si>
    <t>PM</t>
  </si>
  <si>
    <t>Upon a restart, the PM SHALL:
1. start in its default state without remembering any PowerOnDevice requests made to it before its restart.
2. clear all previously made wakeup assertions to local or remote devices except those that are required by its default startup setting. Requesters are expected to re-request any needed resources from the PM again.
3. clear all previous records of received HeartbeatCounter values.</t>
  </si>
  <si>
    <t>DONE</t>
  </si>
  <si>
    <t>TO_BE_DEFINED</t>
  </si>
  <si>
    <r>
      <t xml:space="preserve">A PM that has </t>
    </r>
    <r>
      <rPr>
        <b/>
        <sz val="11"/>
        <color theme="1"/>
        <rFont val="Calibri"/>
        <family val="2"/>
        <scheme val="minor"/>
      </rPr>
      <t xml:space="preserve">both an Ethernet and Wakeup CAN </t>
    </r>
    <r>
      <rPr>
        <sz val="11"/>
        <color theme="1"/>
        <rFont val="Calibri"/>
        <family val="2"/>
        <scheme val="minor"/>
      </rPr>
      <t>connection, SHALL:
1. perform the following for Wakeup Frame messages received on Ethernet:
     a. process the information if needed for its direct dependencies
     b. OR the information together from each incoming Ethernet frame as well as its own values and transmit the       resulting message in its CAN Wakeup Frame.
2. perform the following for Wakeup Frame messages received on CAN:
     a. process the information if needed for its own dependencies
     b. OR the information together from each incoming CAN frame as well as its own values and transmit the resulting message in its Ethernet Wakeup Frame.</t>
    </r>
  </si>
  <si>
    <t>Take into account consideration regarding the PowerOnDevice and PowerOffDevice</t>
  </si>
  <si>
    <t>For the remote is already done with the SM frame, while for the local one is to be defined</t>
  </si>
  <si>
    <t>Miss the part about the 'provide feedback if the request is determined to be invalid or not permitted'</t>
  </si>
  <si>
    <t>ONGOING</t>
  </si>
  <si>
    <t>Not tracked in the code since is too general</t>
  </si>
  <si>
    <t>Which means network communication? Data-Path (data in PDU enabled by BswM mode siwtch), Control-Path (Sm nd PM frames plus wake-up frames) Or Both? (done)</t>
  </si>
  <si>
    <t>SDVA-4873</t>
  </si>
  <si>
    <t>SDVA-4874</t>
  </si>
  <si>
    <t>SDVA-4875</t>
  </si>
  <si>
    <t>SDVA-5379</t>
  </si>
  <si>
    <t>SDVA-4876</t>
  </si>
  <si>
    <t>SDVA-4877</t>
  </si>
  <si>
    <t>SDVA-4878</t>
  </si>
  <si>
    <t>SDVA-4879</t>
  </si>
  <si>
    <t>SDVA-5426</t>
  </si>
  <si>
    <t>SDVA-5427</t>
  </si>
  <si>
    <t>Is job of the integrator take this into account</t>
  </si>
  <si>
    <t xml:space="preserve">Miss the 'Monitor Activate profile status for any activated remote dependencies': The SM frame is received, saved inside Spm_ReqStatusPayload_Rx but no action is taken if we receive an unexpected 'INACTIVE' state of a PowProf that was previouslt ACTIVE and no deactivation request are performed </t>
  </si>
  <si>
    <t>takes just only one request in input as per SDV-8217 API specification</t>
  </si>
  <si>
    <t>SDVA-4385</t>
  </si>
  <si>
    <t>SDVA-5435</t>
  </si>
  <si>
    <t>SDVA-5436</t>
  </si>
  <si>
    <t>SDVA-5437</t>
  </si>
  <si>
    <t>SDVA-5438</t>
  </si>
  <si>
    <t>General purpose</t>
  </si>
  <si>
    <t>Profile Deactivation</t>
  </si>
  <si>
    <t>Tag in the code is not located. Probably can be set in the SWCD.</t>
  </si>
  <si>
    <t>Check is done by SM</t>
  </si>
  <si>
    <t>This is already done by SM.</t>
  </si>
  <si>
    <t>To be checked properly in the code</t>
  </si>
  <si>
    <t xml:space="preserve">Should be reworked Spm_ActivatingStateHandler in order to not call the the PowerOnDevice if the TrgDvc is already ON </t>
  </si>
  <si>
    <t>Each swEntity MUST have one and only one SM that is responsible for the final determination of whether that swEntity is to be started or stopped.</t>
  </si>
  <si>
    <t>Software Manager</t>
  </si>
  <si>
    <t>SM's activating a software entity hosted on a remote host SHALL identify the location of the responsible remote SM as the IP address of the swEntity itself.</t>
  </si>
  <si>
    <t>Each host MUST have only one SM that is responsible for all of the swEntities on that host.</t>
  </si>
  <si>
    <t xml:space="preserve">The SM of each host SHALL inform its local PM that it has the need for the localhost by sending the PowerOnDevice request specifying the IP address of the localhost.
</t>
  </si>
  <si>
    <t>The SM of each host SHALL inform its local PM that its need for the localhost has ended by sending the PowerOffDevice request specifying the IP address of the localhost.</t>
  </si>
  <si>
    <t>SM SHALL activate a swEntity it manages based on the following information:
-internal state of the SM (e.g. the default state may require a set of default swEntities)
-requests (local or remote) made to the SM for that swEntity</t>
  </si>
  <si>
    <t>SM SHALL deactivate a swEntity it manages when there are no active requests for profiles of this swEntity.</t>
  </si>
  <si>
    <t>The request for activation of a swEntity to the SM SHALL be made in the form of an activation request of an activation profile of that swEntity.</t>
  </si>
  <si>
    <t>SM SHALL make the PowerOnDevice request to the PM even if the requested host is already awake.</t>
  </si>
  <si>
    <t>Profile deactivation requests to a SM SHALL be made using the DeactivateProfile method.</t>
  </si>
  <si>
    <t>The network communication implementation for RequestStatusProfileState is implemented using the REQ_STATUS_PROFILE_STATE message where the request status is captured by the Request Status field and the profile state is capture by the Profile State field.</t>
  </si>
  <si>
    <t>The DeactivateProfile method SHALL only be used by an ActivateProfile requester to remove its previous activation request. In other words, one requester
cannot deactivate an active profile that was made active by another requester. A request to deactivate profile from a requester that is not an activation
requester SHALL result in no action performed by the SM on the profile state. If the request is received from an existing activation requester, then SM
SHALL then remove the requester from the list of activation requesters for the profile requested. The SM SHALL further make a MonitorDevice request to
its local PM to stop monitoring the requesting host. In both of these cases, the requester SHALL receive a REQ_STATUS_PROFILE_STATE message
with the Request Status indicating OK.</t>
  </si>
  <si>
    <t>Describe how the SM SHALL deactivate a profile.</t>
  </si>
  <si>
    <t>Marginal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</si>
</sst>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
      <sz val="11"/>
      <color rgb="FF000000"/>
      <name val="Calibri"/>
      <family val="2"/>
      <scheme val="minor"/>
    </font>
    <font>
      <u/>
      <sz val="11"/>
      <color rgb="FF000000"/>
      <name val="Calibri"/>
      <family val="2"/>
      <scheme val="minor"/>
    </font>
  </fonts>
  <fills count="3">
    <fill>
      <patternFill patternType="none"/>
    </fill>
    <fill>
      <patternFill patternType="gray125"/>
    </fill>
    <fill>
      <patternFill patternType="solid">
        <fgColor theme="8" tint="0.79998168889431442"/>
        <bgColor theme="8" tint="0.79998168889431442"/>
      </patternFill>
    </fill>
  </fills>
  <borders count="3">
    <border>
      <left/>
      <right/>
      <top/>
      <bottom/>
      <diagonal/>
    </border>
    <border>
      <left/>
      <right/>
      <top style="thin">
        <color theme="8" tint="0.39997558519241921"/>
      </top>
      <bottom style="thin">
        <color theme="8" tint="0.39997558519241921"/>
      </bottom>
      <diagonal/>
    </border>
    <border>
      <left/>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2" borderId="1" xfId="0" applyFill="1" applyBorder="1"/>
    <xf numFmtId="0" fontId="1" fillId="0" borderId="0" xfId="1"/>
    <xf numFmtId="0" fontId="1" fillId="0" borderId="0" xfId="1" quotePrefix="1"/>
    <xf numFmtId="0" fontId="3" fillId="0" borderId="0" xfId="0" applyFont="1" applyAlignment="1">
      <alignment vertical="top" wrapText="1"/>
    </xf>
    <xf numFmtId="0" fontId="3" fillId="0" borderId="2" xfId="0" applyFont="1" applyBorder="1"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top" wrapText="1"/>
    </xf>
    <xf numFmtId="0" fontId="4" fillId="0" borderId="0" xfId="0" applyFont="1"/>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applyFill="1"/>
    <xf numFmtId="0" fontId="5"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vertical="center"/>
    </xf>
    <xf numFmtId="0" fontId="0" fillId="0" borderId="0" xfId="0" applyFont="1" applyAlignment="1">
      <alignment horizontal="left" vertical="center" wrapText="1"/>
    </xf>
    <xf numFmtId="0" fontId="3" fillId="0" borderId="0" xfId="0" applyFont="1" applyAlignment="1">
      <alignment horizontal="left" vertical="center" wrapText="1"/>
    </xf>
  </cellXfs>
  <cellStyles count="2">
    <cellStyle name="Collegamento ipertestuale" xfId="1" builtinId="8"/>
    <cellStyle name="Normale" xfId="0" builtinId="0"/>
  </cellStyles>
  <dxfs count="17">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alignment horizontal="center" vertical="center" textRotation="0" wrapText="0" indent="0" justifyLastLine="0" shrinkToFit="0" readingOrder="0"/>
    </dxf>
    <dxf>
      <alignment horizontal="general" vertical="top" textRotation="0" wrapText="1" indent="0" justifyLastLine="0" shrinkToFit="0" readingOrder="0"/>
    </dxf>
    <dxf>
      <font>
        <b/>
      </font>
      <alignment horizontal="general" vertical="top"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FBBD6C-6FB5-454B-80D7-C86D69DC6130}" name="Tabella1" displayName="Tabella1" ref="A1:D32" totalsRowShown="0">
  <autoFilter ref="A1:D32" xr:uid="{83FBBD6C-6FB5-454B-80D7-C86D69DC6130}"/>
  <tableColumns count="4">
    <tableColumn id="1" xr3:uid="{6B9F5940-61A9-4013-ADEE-1C47329501B5}" name="SysArchReqID" dataDxfId="16"/>
    <tableColumn id="4" xr3:uid="{22901C80-54F1-430A-936F-E8DB2B28FC18}" name="Milestone" dataDxfId="15"/>
    <tableColumn id="2" xr3:uid="{1B07BD02-0285-431F-995B-5402802FB06B}" name="Description" dataDxfId="14"/>
    <tableColumn id="3" xr3:uid="{1A0D3C05-AB11-458E-A764-908F9094FF9A}" name="Design Notes" dataDxfId="1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A32A2-4858-45D4-B5F2-67B36127826D}" name="Tabella2" displayName="Tabella2" ref="A1:F32" totalsRowShown="0" headerRowDxfId="12">
  <autoFilter ref="A1:F32" xr:uid="{BCDA32A2-4858-45D4-B5F2-67B36127826D}"/>
  <tableColumns count="6">
    <tableColumn id="1" xr3:uid="{21D04D5C-C7FE-4F77-A6CC-EEAB52354EEC}" name="SRS">
      <calculatedColumnFormula array="1">"[$"&amp;"SRS_SPM "&amp;TEXT(CELL("riga",2:2)-1,"0000")&amp;"]"</calculatedColumnFormula>
    </tableColumn>
    <tableColumn id="2" xr3:uid="{4C7436ED-2463-4757-A7EB-B0E9E2CABB6B}" name="Requirement Source" dataDxfId="11"/>
    <tableColumn id="3" xr3:uid="{E25743ED-69E4-4ABC-BC1B-4CEC1BC22280}" name="Requirement Status" dataDxfId="10"/>
    <tableColumn id="4" xr3:uid="{B3C69FA7-5260-4592-90BB-51976B2E8DD9}" name="Requirement Revision"/>
    <tableColumn id="5" xr3:uid="{B0786EE1-65CA-4ACD-AA60-23B294BA7A4F}" name="Requirement Tracking" dataCellStyle="Collegamento ipertestuale">
      <calculatedColumnFormula array="1">HYPERLINK(CELL("indirizzo",SDV_8217!A2),SDV_8217!A2)</calculatedColumnFormula>
    </tableColumn>
    <tableColumn id="6" xr3:uid="{14C1E39E-46FA-41BD-95C3-2F75C352FC2B}" name="Validation Techniqu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9EF7F9-E69A-4806-A489-802F2797F0DA}" name="Tabella5" displayName="Tabella5" ref="A1:E80" totalsRowShown="0" headerRowDxfId="6" dataDxfId="5">
  <autoFilter ref="A1:E80" xr:uid="{719EF7F9-E69A-4806-A489-802F2797F0DA}"/>
  <tableColumns count="5">
    <tableColumn id="1" xr3:uid="{82BE2333-06C4-4553-B7AB-75F5FDA5E3B4}" name="SysArchReqID" dataDxfId="4"/>
    <tableColumn id="4" xr3:uid="{4B5C3867-BDEA-439B-BA58-7505D331A69B}" name="Milestone" dataDxfId="3"/>
    <tableColumn id="2" xr3:uid="{1D142430-CBDC-46A1-BA87-A9E21A95944E}" name="Description" dataDxfId="2"/>
    <tableColumn id="3" xr3:uid="{C6E0062C-5086-403D-97DD-F738EB0A2CBE}" name="Design Notes" dataDxfId="1"/>
    <tableColumn id="5" xr3:uid="{4B75E07A-21EB-40FA-B81B-D6BBBF375AB7}" name="Marginal notes" dataDxfId="0"/>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983CD6-C842-4078-ACE3-AF85EE7E9B10}" name="Tabella4" displayName="Tabella4" ref="A1:F12" totalsRowShown="0" headerRowDxfId="9">
  <autoFilter ref="A1:F12" xr:uid="{F2983CD6-C842-4078-ACE3-AF85EE7E9B10}"/>
  <tableColumns count="6">
    <tableColumn id="1" xr3:uid="{9B71AD4E-E2AA-4335-85B5-0DE3B73F1C02}" name="SRS" dataDxfId="8">
      <calculatedColumnFormula array="1">"[$"&amp;"SRS_SPM "&amp;TEXT(SUM(CELL("riga",2:2),Metadata!$B$3-2,),"0000")&amp;"]"</calculatedColumnFormula>
    </tableColumn>
    <tableColumn id="2" xr3:uid="{C1B78DBA-6106-450C-BB70-CEC14ED8E7DD}" name="Requirement Source"/>
    <tableColumn id="3" xr3:uid="{AB97555F-8575-4EAA-B3CB-2899CF9D7BBC}" name="Requirement Status"/>
    <tableColumn id="4" xr3:uid="{DA5B4402-2A07-45F4-902D-7A90B01E8D68}" name="Requirement Revision"/>
    <tableColumn id="5" xr3:uid="{2EEEA4F8-FA63-4C8B-AF50-8D7BB69001DC}" name="Requirement Tracking" dataDxfId="7">
      <calculatedColumnFormula array="1">HYPERLINK(CELL("indirizzo",#REF!),#REF!)</calculatedColumnFormula>
    </tableColumn>
    <tableColumn id="6" xr3:uid="{945C1001-1372-499D-AC55-495353C03694}" name="Validation Techniqu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3B64-34F9-4C18-BCFF-7EBA1EBA2669}">
  <dimension ref="A2:B6"/>
  <sheetViews>
    <sheetView workbookViewId="0">
      <selection activeCell="F18" sqref="F18"/>
    </sheetView>
  </sheetViews>
  <sheetFormatPr defaultRowHeight="14.4" x14ac:dyDescent="0.3"/>
  <cols>
    <col min="1" max="1" width="21.21875" customWidth="1"/>
    <col min="2" max="2" width="19.21875" customWidth="1"/>
  </cols>
  <sheetData>
    <row r="2" spans="1:2" x14ac:dyDescent="0.3">
      <c r="A2" t="s">
        <v>94</v>
      </c>
      <c r="B2" t="s">
        <v>93</v>
      </c>
    </row>
    <row r="3" spans="1:2" x14ac:dyDescent="0.3">
      <c r="A3" t="s">
        <v>95</v>
      </c>
      <c r="B3">
        <f ca="1">COUNTA(SRS_SDV_8217!A:A)</f>
        <v>32</v>
      </c>
    </row>
    <row r="4" spans="1:2" x14ac:dyDescent="0.3">
      <c r="A4" t="s">
        <v>96</v>
      </c>
      <c r="B4">
        <f ca="1">COUNTA(SRS_SDV_2017!A:A)</f>
        <v>5</v>
      </c>
    </row>
    <row r="5" spans="1:2" x14ac:dyDescent="0.3">
      <c r="A5" t="s">
        <v>97</v>
      </c>
    </row>
    <row r="6" spans="1:2" x14ac:dyDescent="0.3">
      <c r="A6"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opLeftCell="A23" workbookViewId="0">
      <selection activeCell="D9" sqref="D9"/>
    </sheetView>
  </sheetViews>
  <sheetFormatPr defaultRowHeight="14.4" x14ac:dyDescent="0.3"/>
  <cols>
    <col min="1" max="2" width="18.88671875" style="2" customWidth="1"/>
    <col min="3" max="3" width="89.77734375" style="1" customWidth="1"/>
    <col min="4" max="4" width="68.77734375" style="1" customWidth="1"/>
    <col min="5" max="5" width="17.33203125" customWidth="1"/>
  </cols>
  <sheetData>
    <row r="1" spans="1:4" x14ac:dyDescent="0.3">
      <c r="A1" s="2" t="s">
        <v>83</v>
      </c>
      <c r="B1" s="2" t="s">
        <v>101</v>
      </c>
      <c r="C1" s="3" t="s">
        <v>0</v>
      </c>
      <c r="D1" s="3" t="s">
        <v>84</v>
      </c>
    </row>
    <row r="2" spans="1:4" ht="28.8" x14ac:dyDescent="0.3">
      <c r="A2" s="2" t="s">
        <v>1</v>
      </c>
      <c r="C2" s="7" t="s">
        <v>2</v>
      </c>
      <c r="D2" s="1" t="s">
        <v>3</v>
      </c>
    </row>
    <row r="3" spans="1:4" ht="57.6" x14ac:dyDescent="0.3">
      <c r="A3" s="2" t="s">
        <v>4</v>
      </c>
      <c r="C3" s="7" t="s">
        <v>5</v>
      </c>
      <c r="D3" s="1" t="s">
        <v>6</v>
      </c>
    </row>
    <row r="4" spans="1:4" ht="28.8" x14ac:dyDescent="0.3">
      <c r="A4" s="2" t="s">
        <v>7</v>
      </c>
      <c r="C4" s="7" t="s">
        <v>8</v>
      </c>
      <c r="D4" s="1" t="s">
        <v>9</v>
      </c>
    </row>
    <row r="5" spans="1:4" ht="72" x14ac:dyDescent="0.3">
      <c r="A5" s="2" t="s">
        <v>10</v>
      </c>
      <c r="C5" s="7" t="s">
        <v>11</v>
      </c>
      <c r="D5" s="1" t="s">
        <v>82</v>
      </c>
    </row>
    <row r="6" spans="1:4" x14ac:dyDescent="0.3">
      <c r="A6" s="2" t="s">
        <v>12</v>
      </c>
      <c r="C6" s="7" t="s">
        <v>13</v>
      </c>
      <c r="D6" s="1" t="s">
        <v>14</v>
      </c>
    </row>
    <row r="7" spans="1:4" ht="43.2" x14ac:dyDescent="0.3">
      <c r="A7" s="2" t="s">
        <v>15</v>
      </c>
      <c r="C7" s="7" t="s">
        <v>16</v>
      </c>
      <c r="D7" s="1" t="s">
        <v>17</v>
      </c>
    </row>
    <row r="8" spans="1:4" ht="43.2" x14ac:dyDescent="0.3">
      <c r="A8" s="2" t="s">
        <v>18</v>
      </c>
      <c r="C8" s="7" t="s">
        <v>19</v>
      </c>
      <c r="D8" s="1" t="s">
        <v>17</v>
      </c>
    </row>
    <row r="9" spans="1:4" ht="57.6" x14ac:dyDescent="0.3">
      <c r="A9" s="2" t="s">
        <v>20</v>
      </c>
      <c r="C9" s="7" t="s">
        <v>21</v>
      </c>
      <c r="D9" s="1" t="s">
        <v>22</v>
      </c>
    </row>
    <row r="10" spans="1:4" ht="216" x14ac:dyDescent="0.3">
      <c r="A10" s="2" t="s">
        <v>23</v>
      </c>
      <c r="C10" s="7" t="s">
        <v>24</v>
      </c>
    </row>
    <row r="11" spans="1:4" ht="129.6" x14ac:dyDescent="0.3">
      <c r="A11" s="2" t="s">
        <v>25</v>
      </c>
      <c r="C11" s="7" t="s">
        <v>26</v>
      </c>
    </row>
    <row r="12" spans="1:4" x14ac:dyDescent="0.3">
      <c r="A12" s="2" t="s">
        <v>27</v>
      </c>
      <c r="C12" s="7" t="s">
        <v>28</v>
      </c>
      <c r="D12" s="1" t="s">
        <v>29</v>
      </c>
    </row>
    <row r="13" spans="1:4" ht="100.8" x14ac:dyDescent="0.3">
      <c r="A13" s="2" t="s">
        <v>30</v>
      </c>
      <c r="C13" s="7" t="s">
        <v>31</v>
      </c>
      <c r="D13" s="1" t="s">
        <v>32</v>
      </c>
    </row>
    <row r="14" spans="1:4" ht="28.8" x14ac:dyDescent="0.3">
      <c r="A14" s="2" t="s">
        <v>33</v>
      </c>
      <c r="C14" s="7" t="s">
        <v>34</v>
      </c>
      <c r="D14" s="1" t="s">
        <v>35</v>
      </c>
    </row>
    <row r="15" spans="1:4" ht="28.8" x14ac:dyDescent="0.3">
      <c r="A15" s="2" t="s">
        <v>36</v>
      </c>
      <c r="C15" s="7" t="s">
        <v>37</v>
      </c>
      <c r="D15" s="1" t="s">
        <v>38</v>
      </c>
    </row>
    <row r="16" spans="1:4" ht="100.8" x14ac:dyDescent="0.3">
      <c r="A16" s="2" t="s">
        <v>39</v>
      </c>
      <c r="C16" s="7" t="s">
        <v>40</v>
      </c>
      <c r="D16" s="1" t="s">
        <v>41</v>
      </c>
    </row>
    <row r="17" spans="1:4" ht="144" x14ac:dyDescent="0.3">
      <c r="A17" s="2" t="s">
        <v>42</v>
      </c>
      <c r="C17" s="7" t="s">
        <v>43</v>
      </c>
      <c r="D17" s="1" t="s">
        <v>44</v>
      </c>
    </row>
    <row r="18" spans="1:4" ht="259.2" x14ac:dyDescent="0.3">
      <c r="A18" s="2" t="s">
        <v>45</v>
      </c>
      <c r="C18" s="7" t="s">
        <v>46</v>
      </c>
    </row>
    <row r="19" spans="1:4" ht="43.2" x14ac:dyDescent="0.3">
      <c r="A19" s="2" t="s">
        <v>47</v>
      </c>
      <c r="C19" s="7" t="s">
        <v>48</v>
      </c>
      <c r="D19" s="1" t="s">
        <v>49</v>
      </c>
    </row>
    <row r="20" spans="1:4" x14ac:dyDescent="0.3">
      <c r="A20" s="2" t="s">
        <v>50</v>
      </c>
      <c r="C20" s="7" t="s">
        <v>51</v>
      </c>
      <c r="D20" s="1" t="s">
        <v>52</v>
      </c>
    </row>
    <row r="21" spans="1:4" ht="86.4" x14ac:dyDescent="0.3">
      <c r="A21" s="2" t="s">
        <v>53</v>
      </c>
      <c r="C21" s="7" t="s">
        <v>54</v>
      </c>
    </row>
    <row r="22" spans="1:4" ht="28.8" x14ac:dyDescent="0.3">
      <c r="A22" s="2" t="s">
        <v>55</v>
      </c>
      <c r="C22" s="7" t="s">
        <v>56</v>
      </c>
    </row>
    <row r="23" spans="1:4" ht="187.2" x14ac:dyDescent="0.3">
      <c r="A23" s="2" t="s">
        <v>57</v>
      </c>
      <c r="C23" s="7" t="s">
        <v>58</v>
      </c>
    </row>
    <row r="24" spans="1:4" ht="187.2" x14ac:dyDescent="0.3">
      <c r="A24" s="2" t="s">
        <v>59</v>
      </c>
      <c r="C24" s="7" t="s">
        <v>60</v>
      </c>
    </row>
    <row r="25" spans="1:4" ht="244.8" x14ac:dyDescent="0.3">
      <c r="A25" s="2" t="s">
        <v>61</v>
      </c>
      <c r="C25" s="7" t="s">
        <v>62</v>
      </c>
    </row>
    <row r="26" spans="1:4" ht="28.8" x14ac:dyDescent="0.3">
      <c r="A26" s="2" t="s">
        <v>63</v>
      </c>
      <c r="C26" s="7" t="s">
        <v>64</v>
      </c>
      <c r="D26" s="1" t="s">
        <v>65</v>
      </c>
    </row>
    <row r="27" spans="1:4" ht="86.4" x14ac:dyDescent="0.3">
      <c r="A27" s="2" t="s">
        <v>66</v>
      </c>
      <c r="C27" s="7" t="s">
        <v>67</v>
      </c>
    </row>
    <row r="28" spans="1:4" ht="100.8" x14ac:dyDescent="0.3">
      <c r="A28" s="2" t="s">
        <v>68</v>
      </c>
      <c r="C28" s="7" t="s">
        <v>69</v>
      </c>
    </row>
    <row r="29" spans="1:4" ht="129.6" x14ac:dyDescent="0.3">
      <c r="A29" s="2" t="s">
        <v>70</v>
      </c>
      <c r="C29" s="7" t="s">
        <v>71</v>
      </c>
      <c r="D29" s="1" t="s">
        <v>72</v>
      </c>
    </row>
    <row r="30" spans="1:4" ht="28.8" x14ac:dyDescent="0.3">
      <c r="A30" s="2" t="s">
        <v>73</v>
      </c>
      <c r="C30" s="7" t="s">
        <v>74</v>
      </c>
      <c r="D30" s="1" t="s">
        <v>75</v>
      </c>
    </row>
    <row r="31" spans="1:4" ht="115.2" x14ac:dyDescent="0.3">
      <c r="A31" s="2" t="s">
        <v>76</v>
      </c>
      <c r="C31" s="7" t="s">
        <v>77</v>
      </c>
      <c r="D31" s="1" t="s">
        <v>78</v>
      </c>
    </row>
    <row r="32" spans="1:4" ht="43.2" x14ac:dyDescent="0.3">
      <c r="A32" s="2" t="s">
        <v>79</v>
      </c>
      <c r="C32" s="7" t="s">
        <v>80</v>
      </c>
      <c r="D32" s="1" t="s">
        <v>81</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889F-C4C8-48F6-AF76-AE1D46BCB267}">
  <dimension ref="A1:F33"/>
  <sheetViews>
    <sheetView zoomScaleNormal="100" workbookViewId="0">
      <selection activeCell="E28" sqref="E28"/>
    </sheetView>
  </sheetViews>
  <sheetFormatPr defaultRowHeight="14.4" x14ac:dyDescent="0.3"/>
  <cols>
    <col min="1" max="1" width="22.33203125" customWidth="1"/>
    <col min="2" max="2" width="37.5546875" customWidth="1"/>
    <col min="3" max="3" width="31.21875" customWidth="1"/>
    <col min="4" max="4" width="34.88671875" customWidth="1"/>
    <col min="5" max="5" width="35.6640625" customWidth="1"/>
    <col min="6" max="6" width="45.88671875" customWidth="1"/>
  </cols>
  <sheetData>
    <row r="1" spans="1:6" x14ac:dyDescent="0.3">
      <c r="A1" s="2" t="s">
        <v>85</v>
      </c>
      <c r="B1" s="2" t="s">
        <v>86</v>
      </c>
      <c r="C1" s="2" t="s">
        <v>87</v>
      </c>
      <c r="D1" s="2" t="s">
        <v>88</v>
      </c>
      <c r="E1" s="2" t="s">
        <v>89</v>
      </c>
      <c r="F1" s="2" t="s">
        <v>90</v>
      </c>
    </row>
    <row r="2" spans="1:6" x14ac:dyDescent="0.3">
      <c r="A2" t="str" cm="1">
        <f t="array" aca="1" ref="A2" ca="1">"[$"&amp;"SRS_SPM "&amp;TEXT(CELL("riga",2:2)-1,"0000")&amp;"]"</f>
        <v>[$SRS_SPM 0001]</v>
      </c>
      <c r="B2" s="4" t="s">
        <v>91</v>
      </c>
      <c r="C2" s="4" t="s">
        <v>92</v>
      </c>
      <c r="E2" s="5" t="str" cm="1">
        <f t="array" aca="1" ref="E2" ca="1">HYPERLINK(CELL("indirizzo",SDV_8217!A2),SDV_8217!A2)</f>
        <v>SPM_0001</v>
      </c>
      <c r="F2" s="6"/>
    </row>
    <row r="3" spans="1:6" x14ac:dyDescent="0.3">
      <c r="A3" t="str" cm="1">
        <f t="array" aca="1" ref="A3" ca="1">"[$"&amp;"SRS_SPM "&amp;TEXT(CELL("riga",3:3)-1,"0000")&amp;"]"</f>
        <v>[$SRS_SPM 0002]</v>
      </c>
      <c r="B3" s="4" t="s">
        <v>91</v>
      </c>
      <c r="C3" s="4" t="s">
        <v>92</v>
      </c>
      <c r="E3" s="5" t="str" cm="1">
        <f t="array" aca="1" ref="E3" ca="1">HYPERLINK(CELL("indirizzo",SDV_8217!A3),SDV_8217!A3)</f>
        <v>SPM_0002</v>
      </c>
      <c r="F3" s="6"/>
    </row>
    <row r="4" spans="1:6" x14ac:dyDescent="0.3">
      <c r="A4" t="str" cm="1">
        <f t="array" aca="1" ref="A4" ca="1">"[$"&amp;"SRS_SPM "&amp;TEXT(CELL("riga",4:4)-1,"0000")&amp;"]"</f>
        <v>[$SRS_SPM 0003]</v>
      </c>
      <c r="B4" s="4" t="s">
        <v>91</v>
      </c>
      <c r="C4" s="4" t="s">
        <v>92</v>
      </c>
      <c r="E4" s="5" t="str" cm="1">
        <f t="array" aca="1" ref="E4" ca="1">HYPERLINK(CELL("indirizzo",SDV_8217!A4),SDV_8217!A4)</f>
        <v>SPM_0003</v>
      </c>
      <c r="F4" s="6"/>
    </row>
    <row r="5" spans="1:6" x14ac:dyDescent="0.3">
      <c r="A5" t="str" cm="1">
        <f t="array" aca="1" ref="A5" ca="1">"[$"&amp;"SRS_SPM "&amp;TEXT(CELL("riga",5:5)-1,"0000")&amp;"]"</f>
        <v>[$SRS_SPM 0004]</v>
      </c>
      <c r="B5" s="4" t="s">
        <v>91</v>
      </c>
      <c r="C5" s="4" t="s">
        <v>92</v>
      </c>
      <c r="E5" s="5" t="str" cm="1">
        <f t="array" aca="1" ref="E5" ca="1">HYPERLINK(CELL("indirizzo",SDV_8217!A5),SDV_8217!A5)</f>
        <v>SPM_0004</v>
      </c>
      <c r="F5" s="6"/>
    </row>
    <row r="6" spans="1:6" x14ac:dyDescent="0.3">
      <c r="A6" t="str" cm="1">
        <f t="array" aca="1" ref="A6" ca="1">"[$"&amp;"SRS_SPM "&amp;TEXT(CELL("riga",6:6)-1,"0000")&amp;"]"</f>
        <v>[$SRS_SPM 0005]</v>
      </c>
      <c r="B6" s="4" t="s">
        <v>91</v>
      </c>
      <c r="C6" s="4" t="s">
        <v>92</v>
      </c>
      <c r="E6" s="5" t="str" cm="1">
        <f t="array" aca="1" ref="E6" ca="1">HYPERLINK(CELL("indirizzo",SDV_8217!A6),SDV_8217!A6)</f>
        <v>SPM_0005</v>
      </c>
      <c r="F6" s="6"/>
    </row>
    <row r="7" spans="1:6" x14ac:dyDescent="0.3">
      <c r="A7" t="str" cm="1">
        <f t="array" aca="1" ref="A7" ca="1">"[$"&amp;"SRS_SPM "&amp;TEXT(CELL("riga",7:7)-1,"0000")&amp;"]"</f>
        <v>[$SRS_SPM 0006]</v>
      </c>
      <c r="B7" s="4" t="s">
        <v>91</v>
      </c>
      <c r="C7" s="4" t="s">
        <v>92</v>
      </c>
      <c r="E7" s="5" t="str" cm="1">
        <f t="array" aca="1" ref="E7" ca="1">HYPERLINK(CELL("indirizzo",SDV_8217!A7),SDV_8217!A7)</f>
        <v>SPM_0007</v>
      </c>
      <c r="F7" s="6"/>
    </row>
    <row r="8" spans="1:6" x14ac:dyDescent="0.3">
      <c r="A8" t="str" cm="1">
        <f t="array" aca="1" ref="A8" ca="1">"[$"&amp;"SRS_SPM "&amp;TEXT(CELL("riga",8:8)-1,"0000")&amp;"]"</f>
        <v>[$SRS_SPM 0007]</v>
      </c>
      <c r="B8" s="4" t="s">
        <v>91</v>
      </c>
      <c r="C8" s="4" t="s">
        <v>92</v>
      </c>
      <c r="E8" s="5" t="str" cm="1">
        <f t="array" aca="1" ref="E8" ca="1">HYPERLINK(CELL("indirizzo",SDV_8217!A8),SDV_8217!A8)</f>
        <v>SPM_0008</v>
      </c>
      <c r="F8" s="6"/>
    </row>
    <row r="9" spans="1:6" x14ac:dyDescent="0.3">
      <c r="A9" t="str" cm="1">
        <f t="array" aca="1" ref="A9" ca="1">"[$"&amp;"SRS_SPM "&amp;TEXT(CELL("riga",9:9)-1,"0000")&amp;"]"</f>
        <v>[$SRS_SPM 0008]</v>
      </c>
      <c r="B9" s="4" t="s">
        <v>91</v>
      </c>
      <c r="C9" s="4" t="s">
        <v>92</v>
      </c>
      <c r="E9" s="5" t="str" cm="1">
        <f t="array" aca="1" ref="E9" ca="1">HYPERLINK(CELL("indirizzo",SDV_8217!A9),SDV_8217!A9)</f>
        <v>SPM_0009</v>
      </c>
      <c r="F9" s="6"/>
    </row>
    <row r="10" spans="1:6" x14ac:dyDescent="0.3">
      <c r="A10" t="str" cm="1">
        <f t="array" aca="1" ref="A10" ca="1">"[$"&amp;"SRS_SPM "&amp;TEXT(CELL("riga",10:10)-1,"0000")&amp;"]"</f>
        <v>[$SRS_SPM 0009]</v>
      </c>
      <c r="B10" s="4" t="s">
        <v>91</v>
      </c>
      <c r="C10" s="4" t="s">
        <v>92</v>
      </c>
      <c r="E10" s="5" t="str" cm="1">
        <f t="array" aca="1" ref="E10" ca="1">HYPERLINK(CELL("indirizzo",SDV_8217!A10),SDV_8217!A10)</f>
        <v>SPM_0010</v>
      </c>
    </row>
    <row r="11" spans="1:6" x14ac:dyDescent="0.3">
      <c r="A11" t="str" cm="1">
        <f t="array" aca="1" ref="A11" ca="1">"[$"&amp;"SRS_SPM "&amp;TEXT(CELL("riga",11:11)-1,"0000")&amp;"]"</f>
        <v>[$SRS_SPM 0010]</v>
      </c>
      <c r="B11" s="4" t="s">
        <v>91</v>
      </c>
      <c r="C11" s="4" t="s">
        <v>92</v>
      </c>
      <c r="E11" s="5" t="str" cm="1">
        <f t="array" aca="1" ref="E11" ca="1">HYPERLINK(CELL("indirizzo",SDV_8217!A11),SDV_8217!A11)</f>
        <v>SPM_0011</v>
      </c>
    </row>
    <row r="12" spans="1:6" x14ac:dyDescent="0.3">
      <c r="A12" t="str" cm="1">
        <f t="array" aca="1" ref="A12" ca="1">"[$"&amp;"SRS_SPM "&amp;TEXT(CELL("riga",12:12)-1,"0000")&amp;"]"</f>
        <v>[$SRS_SPM 0011]</v>
      </c>
      <c r="B12" s="4" t="s">
        <v>91</v>
      </c>
      <c r="C12" s="4" t="s">
        <v>92</v>
      </c>
      <c r="E12" s="5" t="str" cm="1">
        <f t="array" aca="1" ref="E12" ca="1">HYPERLINK(CELL("indirizzo",SDV_8217!A12),SDV_8217!A12)</f>
        <v>SPM_0012</v>
      </c>
    </row>
    <row r="13" spans="1:6" x14ac:dyDescent="0.3">
      <c r="A13" t="str" cm="1">
        <f t="array" aca="1" ref="A13" ca="1">"[$"&amp;"SRS_SPM "&amp;TEXT(CELL("riga",13:13)-1,"0000")&amp;"]"</f>
        <v>[$SRS_SPM 0012]</v>
      </c>
      <c r="B13" s="4" t="s">
        <v>91</v>
      </c>
      <c r="C13" s="4" t="s">
        <v>92</v>
      </c>
      <c r="E13" s="5" t="str" cm="1">
        <f t="array" aca="1" ref="E13" ca="1">HYPERLINK(CELL("indirizzo",SDV_8217!A13),SDV_8217!A13)</f>
        <v>SPM_0019</v>
      </c>
    </row>
    <row r="14" spans="1:6" x14ac:dyDescent="0.3">
      <c r="A14" t="str" cm="1">
        <f t="array" aca="1" ref="A14" ca="1">"[$"&amp;"SRS_SPM "&amp;TEXT(CELL("riga",14:14)-1,"0000")&amp;"]"</f>
        <v>[$SRS_SPM 0013]</v>
      </c>
      <c r="B14" s="4" t="s">
        <v>91</v>
      </c>
      <c r="C14" s="4" t="s">
        <v>92</v>
      </c>
      <c r="E14" s="5" t="str" cm="1">
        <f t="array" aca="1" ref="E14" ca="1">HYPERLINK(CELL("indirizzo",SDV_8217!A14),SDV_8217!A14)</f>
        <v>SPM_0020</v>
      </c>
    </row>
    <row r="15" spans="1:6" x14ac:dyDescent="0.3">
      <c r="A15" t="str" cm="1">
        <f t="array" aca="1" ref="A15" ca="1">"[$"&amp;"SRS_SPM "&amp;TEXT(CELL("riga",15:15)-1,"0000")&amp;"]"</f>
        <v>[$SRS_SPM 0014]</v>
      </c>
      <c r="B15" s="4" t="s">
        <v>91</v>
      </c>
      <c r="C15" s="4" t="s">
        <v>92</v>
      </c>
      <c r="E15" s="5" t="str" cm="1">
        <f t="array" aca="1" ref="E15" ca="1">HYPERLINK(CELL("indirizzo",SDV_8217!A15),SDV_8217!A15)</f>
        <v>SPM_0021</v>
      </c>
    </row>
    <row r="16" spans="1:6" x14ac:dyDescent="0.3">
      <c r="A16" t="str" cm="1">
        <f t="array" aca="1" ref="A16" ca="1">"[$"&amp;"SRS_SPM "&amp;TEXT(CELL("riga",16:16)-1,"0000")&amp;"]"</f>
        <v>[$SRS_SPM 0015]</v>
      </c>
      <c r="B16" s="4" t="s">
        <v>91</v>
      </c>
      <c r="C16" s="4" t="s">
        <v>92</v>
      </c>
      <c r="E16" s="5" t="str" cm="1">
        <f t="array" aca="1" ref="E16" ca="1">HYPERLINK(CELL("indirizzo",SDV_8217!A16),SDV_8217!A16)</f>
        <v>SPM_0022</v>
      </c>
    </row>
    <row r="17" spans="1:5" x14ac:dyDescent="0.3">
      <c r="A17" t="str" cm="1">
        <f t="array" aca="1" ref="A17" ca="1">"[$"&amp;"SRS_SPM "&amp;TEXT(CELL("riga",17:17)-1,"0000")&amp;"]"</f>
        <v>[$SRS_SPM 0016]</v>
      </c>
      <c r="B17" s="4" t="s">
        <v>91</v>
      </c>
      <c r="C17" s="4" t="s">
        <v>92</v>
      </c>
      <c r="E17" s="5" t="str" cm="1">
        <f t="array" aca="1" ref="E17" ca="1">HYPERLINK(CELL("indirizzo",SDV_8217!A17),SDV_8217!A17)</f>
        <v>SPM_0023</v>
      </c>
    </row>
    <row r="18" spans="1:5" x14ac:dyDescent="0.3">
      <c r="A18" t="str" cm="1">
        <f t="array" aca="1" ref="A18" ca="1">"[$"&amp;"SRS_SPM "&amp;TEXT(CELL("riga",18:18)-1,"0000")&amp;"]"</f>
        <v>[$SRS_SPM 0017]</v>
      </c>
      <c r="B18" s="4" t="s">
        <v>91</v>
      </c>
      <c r="C18" s="4" t="s">
        <v>92</v>
      </c>
      <c r="E18" s="5" t="str" cm="1">
        <f t="array" aca="1" ref="E18" ca="1">HYPERLINK(CELL("indirizzo",SDV_8217!A18),SDV_8217!A18)</f>
        <v>SPM_0024</v>
      </c>
    </row>
    <row r="19" spans="1:5" x14ac:dyDescent="0.3">
      <c r="A19" t="str" cm="1">
        <f t="array" aca="1" ref="A19" ca="1">"[$"&amp;"SRS_SPM "&amp;TEXT(CELL("riga",19:19)-1,"0000")&amp;"]"</f>
        <v>[$SRS_SPM 0018]</v>
      </c>
      <c r="B19" s="4" t="s">
        <v>91</v>
      </c>
      <c r="C19" s="4" t="s">
        <v>92</v>
      </c>
      <c r="E19" s="5" t="str" cm="1">
        <f t="array" aca="1" ref="E19" ca="1">HYPERLINK(CELL("indirizzo",SDV_8217!A19),SDV_8217!A19)</f>
        <v>SPM_0025</v>
      </c>
    </row>
    <row r="20" spans="1:5" x14ac:dyDescent="0.3">
      <c r="A20" t="str" cm="1">
        <f t="array" aca="1" ref="A20" ca="1">"[$"&amp;"SRS_SPM "&amp;TEXT(CELL("riga",20:20)-1,"0000")&amp;"]"</f>
        <v>[$SRS_SPM 0019]</v>
      </c>
      <c r="B20" s="4" t="s">
        <v>91</v>
      </c>
      <c r="C20" s="4" t="s">
        <v>92</v>
      </c>
      <c r="E20" s="5" t="str" cm="1">
        <f t="array" aca="1" ref="E20" ca="1">HYPERLINK(CELL("indirizzo",SDV_8217!A20),SDV_8217!A20)</f>
        <v>SPM_0026</v>
      </c>
    </row>
    <row r="21" spans="1:5" x14ac:dyDescent="0.3">
      <c r="A21" t="str" cm="1">
        <f t="array" aca="1" ref="A21" ca="1">"[$"&amp;"SRS_SPM "&amp;TEXT(CELL("riga",21:21)-1,"0000")&amp;"]"</f>
        <v>[$SRS_SPM 0020]</v>
      </c>
      <c r="B21" s="4" t="s">
        <v>91</v>
      </c>
      <c r="C21" s="4" t="s">
        <v>92</v>
      </c>
      <c r="E21" s="5" t="str" cm="1">
        <f t="array" aca="1" ref="E21" ca="1">HYPERLINK(CELL("indirizzo",SDV_8217!A21),SDV_8217!A21)</f>
        <v>SPM_0027</v>
      </c>
    </row>
    <row r="22" spans="1:5" x14ac:dyDescent="0.3">
      <c r="A22" t="str" cm="1">
        <f t="array" aca="1" ref="A22" ca="1">"[$"&amp;"SRS_SPM "&amp;TEXT(CELL("riga",22:22)-1,"0000")&amp;"]"</f>
        <v>[$SRS_SPM 0021]</v>
      </c>
      <c r="B22" s="4" t="s">
        <v>91</v>
      </c>
      <c r="C22" s="4" t="s">
        <v>92</v>
      </c>
      <c r="E22" s="5" t="str" cm="1">
        <f t="array" aca="1" ref="E22" ca="1">HYPERLINK(CELL("indirizzo",SDV_8217!A22),SDV_8217!A22)</f>
        <v>SPM_0028</v>
      </c>
    </row>
    <row r="23" spans="1:5" x14ac:dyDescent="0.3">
      <c r="A23" t="str" cm="1">
        <f t="array" aca="1" ref="A23" ca="1">"[$"&amp;"SRS_SPM "&amp;TEXT(CELL("riga",23:23)-1,"0000")&amp;"]"</f>
        <v>[$SRS_SPM 0022]</v>
      </c>
      <c r="B23" s="4" t="s">
        <v>91</v>
      </c>
      <c r="C23" s="4" t="s">
        <v>92</v>
      </c>
      <c r="E23" s="5" t="str" cm="1">
        <f t="array" aca="1" ref="E23" ca="1">HYPERLINK(CELL("indirizzo",SDV_8217!A23),SDV_8217!A23)</f>
        <v>SPM_0031</v>
      </c>
    </row>
    <row r="24" spans="1:5" x14ac:dyDescent="0.3">
      <c r="A24" t="str" cm="1">
        <f t="array" aca="1" ref="A24" ca="1">"[$"&amp;"SRS_SPM "&amp;TEXT(CELL("riga",24:24)-1,"0000")&amp;"]"</f>
        <v>[$SRS_SPM 0023]</v>
      </c>
      <c r="B24" s="4" t="s">
        <v>91</v>
      </c>
      <c r="C24" s="4" t="s">
        <v>92</v>
      </c>
      <c r="E24" s="5" t="str" cm="1">
        <f t="array" aca="1" ref="E24" ca="1">HYPERLINK(CELL("indirizzo",SDV_8217!A24),SDV_8217!A24)</f>
        <v>SPM_0032</v>
      </c>
    </row>
    <row r="25" spans="1:5" x14ac:dyDescent="0.3">
      <c r="A25" t="str" cm="1">
        <f t="array" aca="1" ref="A25" ca="1">"[$"&amp;"SRS_SPM "&amp;TEXT(CELL("riga",25:25)-1,"0000")&amp;"]"</f>
        <v>[$SRS_SPM 0024]</v>
      </c>
      <c r="B25" s="4" t="s">
        <v>91</v>
      </c>
      <c r="C25" s="4" t="s">
        <v>92</v>
      </c>
      <c r="E25" s="5" t="str" cm="1">
        <f t="array" aca="1" ref="E25" ca="1">HYPERLINK(CELL("indirizzo",SDV_8217!A25),SDV_8217!A25)</f>
        <v>SPM_0033</v>
      </c>
    </row>
    <row r="26" spans="1:5" x14ac:dyDescent="0.3">
      <c r="A26" t="str" cm="1">
        <f t="array" aca="1" ref="A26" ca="1">"[$"&amp;"SRS_SPM "&amp;TEXT(CELL("riga",26:26)-1,"0000")&amp;"]"</f>
        <v>[$SRS_SPM 0025]</v>
      </c>
      <c r="B26" s="4" t="s">
        <v>91</v>
      </c>
      <c r="C26" s="4" t="s">
        <v>92</v>
      </c>
      <c r="E26" s="5" t="str" cm="1">
        <f t="array" aca="1" ref="E26" ca="1">HYPERLINK(CELL("indirizzo",SDV_8217!A26),SDV_8217!A26)</f>
        <v>SPM_0034</v>
      </c>
    </row>
    <row r="27" spans="1:5" x14ac:dyDescent="0.3">
      <c r="A27" t="str" cm="1">
        <f t="array" aca="1" ref="A27" ca="1">"[$"&amp;"SRS_SPM "&amp;TEXT(CELL("riga",27:27)-1,"0000")&amp;"]"</f>
        <v>[$SRS_SPM 0026]</v>
      </c>
      <c r="B27" s="4" t="s">
        <v>91</v>
      </c>
      <c r="C27" s="4" t="s">
        <v>92</v>
      </c>
      <c r="E27" s="5" t="str" cm="1">
        <f t="array" aca="1" ref="E27" ca="1">HYPERLINK(CELL("indirizzo",SDV_8217!A27),SDV_8217!A27)</f>
        <v>SPM_0035</v>
      </c>
    </row>
    <row r="28" spans="1:5" x14ac:dyDescent="0.3">
      <c r="A28" t="str" cm="1">
        <f t="array" aca="1" ref="A28" ca="1">"[$"&amp;"SRS_SPM "&amp;TEXT(CELL("riga",28:28)-1,"0000")&amp;"]"</f>
        <v>[$SRS_SPM 0027]</v>
      </c>
      <c r="B28" s="4" t="s">
        <v>91</v>
      </c>
      <c r="C28" s="4" t="s">
        <v>92</v>
      </c>
      <c r="E28" s="5" t="str" cm="1">
        <f t="array" aca="1" ref="E28" ca="1">HYPERLINK(CELL("indirizzo",SDV_8217!A28),SDV_8217!A28)</f>
        <v>SPM_0036</v>
      </c>
    </row>
    <row r="29" spans="1:5" x14ac:dyDescent="0.3">
      <c r="A29" t="str" cm="1">
        <f t="array" aca="1" ref="A29" ca="1">"[$"&amp;"SRS_SPM "&amp;TEXT(CELL("riga",29:29)-1,"0000")&amp;"]"</f>
        <v>[$SRS_SPM 0028]</v>
      </c>
      <c r="B29" s="4" t="s">
        <v>91</v>
      </c>
      <c r="C29" s="4" t="s">
        <v>92</v>
      </c>
      <c r="E29" s="5" t="str" cm="1">
        <f t="array" aca="1" ref="E29" ca="1">HYPERLINK(CELL("indirizzo",SDV_8217!A29),SDV_8217!A29)</f>
        <v>SPM_0037</v>
      </c>
    </row>
    <row r="30" spans="1:5" x14ac:dyDescent="0.3">
      <c r="A30" t="str" cm="1">
        <f t="array" aca="1" ref="A30" ca="1">"[$"&amp;"SRS_SPM "&amp;TEXT(CELL("riga",30:30)-1,"0000")&amp;"]"</f>
        <v>[$SRS_SPM 0029]</v>
      </c>
      <c r="B30" s="4" t="s">
        <v>91</v>
      </c>
      <c r="C30" s="4" t="s">
        <v>92</v>
      </c>
      <c r="E30" s="5" t="str" cm="1">
        <f t="array" aca="1" ref="E30" ca="1">HYPERLINK(CELL("indirizzo",SDV_8217!A30),SDV_8217!A30)</f>
        <v>SPM_0038</v>
      </c>
    </row>
    <row r="31" spans="1:5" x14ac:dyDescent="0.3">
      <c r="A31" t="str" cm="1">
        <f t="array" aca="1" ref="A31" ca="1">"[$"&amp;"SRS_SPM "&amp;TEXT(CELL("riga",31:31)-1,"0000")&amp;"]"</f>
        <v>[$SRS_SPM 0030]</v>
      </c>
      <c r="B31" s="4" t="s">
        <v>91</v>
      </c>
      <c r="C31" s="4" t="s">
        <v>92</v>
      </c>
      <c r="E31" s="5" t="str" cm="1">
        <f t="array" aca="1" ref="E31" ca="1">HYPERLINK(CELL("indirizzo",SDV_8217!A31),SDV_8217!A31)</f>
        <v>SPM_0039</v>
      </c>
    </row>
    <row r="32" spans="1:5" x14ac:dyDescent="0.3">
      <c r="A32" t="str" cm="1">
        <f t="array" aca="1" ref="A32" ca="1">"[$"&amp;"SRS_SPM "&amp;TEXT(CELL("riga",32:32)-1,"0000")&amp;"]"</f>
        <v>[$SRS_SPM 0031]</v>
      </c>
      <c r="B32" s="4" t="s">
        <v>91</v>
      </c>
      <c r="C32" s="4" t="s">
        <v>92</v>
      </c>
      <c r="E32" s="5" t="str" cm="1">
        <f t="array" aca="1" ref="E32" ca="1">HYPERLINK(CELL("indirizzo",SDV_8217!A32),SDV_8217!A32)</f>
        <v>SPM_0040</v>
      </c>
    </row>
    <row r="33" spans="5:5" x14ac:dyDescent="0.3">
      <c r="E33" s="5"/>
    </row>
  </sheetData>
  <phoneticPr fontId="2" type="noConversion"/>
  <dataValidations count="2">
    <dataValidation type="list" allowBlank="1" showInputMessage="1" showErrorMessage="1" sqref="B2:B32" xr:uid="{E302B2EA-7ED3-4D3E-8596-1670E4DAEB56}">
      <formula1>"Customer Discussion,Customer Spec Track"</formula1>
    </dataValidation>
    <dataValidation type="list" allowBlank="1" showInputMessage="1" showErrorMessage="1" sqref="C2:C32" xr:uid="{3F5F3AEA-1DF0-454D-A39E-3F401D7B1975}">
      <formula1>"Accepted,Implemented,Rejected,Review"</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A000-1E22-4B64-BBD8-72843B9CBC0F}">
  <dimension ref="A1:G81"/>
  <sheetViews>
    <sheetView tabSelected="1" topLeftCell="A11" workbookViewId="0">
      <selection activeCell="C11" sqref="C11"/>
    </sheetView>
  </sheetViews>
  <sheetFormatPr defaultRowHeight="14.4" x14ac:dyDescent="0.3"/>
  <cols>
    <col min="1" max="2" width="23.109375" style="10" customWidth="1"/>
    <col min="3" max="3" width="98.88671875" style="11" customWidth="1"/>
    <col min="4" max="4" width="37.21875" style="9" customWidth="1"/>
    <col min="5" max="5" width="32.44140625" customWidth="1"/>
  </cols>
  <sheetData>
    <row r="1" spans="1:5" x14ac:dyDescent="0.3">
      <c r="A1" s="10" t="s">
        <v>83</v>
      </c>
      <c r="B1" s="10" t="s">
        <v>101</v>
      </c>
      <c r="C1" s="11" t="s">
        <v>0</v>
      </c>
      <c r="D1" s="9" t="s">
        <v>84</v>
      </c>
      <c r="E1" s="9" t="s">
        <v>273</v>
      </c>
    </row>
    <row r="2" spans="1:5" ht="28.2" customHeight="1" x14ac:dyDescent="0.3">
      <c r="A2" s="19" t="s">
        <v>234</v>
      </c>
      <c r="B2" s="10" t="s">
        <v>260</v>
      </c>
      <c r="C2" s="14" t="s">
        <v>259</v>
      </c>
      <c r="D2" s="13" t="s">
        <v>161</v>
      </c>
      <c r="E2" s="15" t="s">
        <v>244</v>
      </c>
    </row>
    <row r="3" spans="1:5" ht="28.8" x14ac:dyDescent="0.3">
      <c r="A3" s="19" t="s">
        <v>235</v>
      </c>
      <c r="B3" s="10" t="s">
        <v>120</v>
      </c>
      <c r="C3" s="14" t="s">
        <v>261</v>
      </c>
      <c r="D3" s="13" t="s">
        <v>225</v>
      </c>
      <c r="E3" s="14"/>
    </row>
    <row r="4" spans="1:5" ht="18" customHeight="1" x14ac:dyDescent="0.3">
      <c r="A4" s="19" t="s">
        <v>236</v>
      </c>
      <c r="B4" s="10" t="s">
        <v>260</v>
      </c>
      <c r="C4" s="20" t="s">
        <v>262</v>
      </c>
      <c r="D4" s="13" t="s">
        <v>225</v>
      </c>
      <c r="E4" s="14"/>
    </row>
    <row r="5" spans="1:5" ht="31.2" customHeight="1" x14ac:dyDescent="0.3">
      <c r="A5" s="19" t="s">
        <v>237</v>
      </c>
      <c r="B5" s="10" t="s">
        <v>120</v>
      </c>
      <c r="C5" s="14" t="s">
        <v>263</v>
      </c>
      <c r="D5" s="13" t="s">
        <v>225</v>
      </c>
      <c r="E5" s="14"/>
    </row>
    <row r="6" spans="1:5" ht="28.8" x14ac:dyDescent="0.3">
      <c r="A6" s="19" t="s">
        <v>238</v>
      </c>
      <c r="B6" s="10" t="s">
        <v>120</v>
      </c>
      <c r="C6" s="14" t="s">
        <v>264</v>
      </c>
      <c r="D6" s="13" t="s">
        <v>225</v>
      </c>
      <c r="E6" s="14"/>
    </row>
    <row r="7" spans="1:5" ht="43.2" x14ac:dyDescent="0.3">
      <c r="A7" s="19" t="s">
        <v>239</v>
      </c>
      <c r="B7" s="10" t="s">
        <v>120</v>
      </c>
      <c r="C7" s="14" t="s">
        <v>265</v>
      </c>
      <c r="D7" s="13" t="s">
        <v>225</v>
      </c>
      <c r="E7" s="14"/>
    </row>
    <row r="8" spans="1:5" ht="28.8" x14ac:dyDescent="0.3">
      <c r="A8" s="19" t="s">
        <v>240</v>
      </c>
      <c r="B8" s="10" t="s">
        <v>120</v>
      </c>
      <c r="C8" s="14" t="s">
        <v>266</v>
      </c>
      <c r="D8" s="13" t="s">
        <v>225</v>
      </c>
      <c r="E8" s="14"/>
    </row>
    <row r="9" spans="1:5" ht="28.8" x14ac:dyDescent="0.3">
      <c r="A9" s="19" t="s">
        <v>241</v>
      </c>
      <c r="B9" s="10" t="s">
        <v>120</v>
      </c>
      <c r="C9" s="14" t="s">
        <v>267</v>
      </c>
      <c r="D9" s="13" t="s">
        <v>225</v>
      </c>
      <c r="E9" s="14"/>
    </row>
    <row r="10" spans="1:5" ht="28.8" x14ac:dyDescent="0.3">
      <c r="A10" s="10" t="s">
        <v>103</v>
      </c>
      <c r="B10" s="10" t="s">
        <v>120</v>
      </c>
      <c r="C10" s="21" t="s">
        <v>122</v>
      </c>
      <c r="D10" s="14" t="s">
        <v>225</v>
      </c>
      <c r="E10" s="14"/>
    </row>
    <row r="11" spans="1:5" ht="43.2" x14ac:dyDescent="0.3">
      <c r="A11" s="10" t="s">
        <v>104</v>
      </c>
      <c r="B11" s="10" t="s">
        <v>120</v>
      </c>
      <c r="C11" s="21" t="s">
        <v>121</v>
      </c>
      <c r="D11" s="14" t="s">
        <v>225</v>
      </c>
      <c r="E11" s="14"/>
    </row>
    <row r="12" spans="1:5" ht="28.8" x14ac:dyDescent="0.3">
      <c r="A12" s="10" t="s">
        <v>105</v>
      </c>
      <c r="B12" s="10" t="s">
        <v>120</v>
      </c>
      <c r="C12" s="21" t="s">
        <v>123</v>
      </c>
      <c r="D12" s="14" t="s">
        <v>225</v>
      </c>
      <c r="E12" s="14"/>
    </row>
    <row r="13" spans="1:5" ht="115.2" x14ac:dyDescent="0.3">
      <c r="A13" s="10" t="s">
        <v>106</v>
      </c>
      <c r="B13" s="10" t="s">
        <v>120</v>
      </c>
      <c r="C13" s="21" t="s">
        <v>124</v>
      </c>
      <c r="D13" s="14" t="s">
        <v>225</v>
      </c>
      <c r="E13" s="14"/>
    </row>
    <row r="14" spans="1:5" ht="86.4" x14ac:dyDescent="0.3">
      <c r="A14" s="10" t="s">
        <v>107</v>
      </c>
      <c r="B14" s="10" t="s">
        <v>120</v>
      </c>
      <c r="C14" s="21" t="s">
        <v>125</v>
      </c>
      <c r="D14" s="14" t="s">
        <v>225</v>
      </c>
      <c r="E14" s="14"/>
    </row>
    <row r="15" spans="1:5" ht="28.8" x14ac:dyDescent="0.3">
      <c r="A15" s="10" t="s">
        <v>108</v>
      </c>
      <c r="B15" s="10" t="s">
        <v>120</v>
      </c>
      <c r="C15" s="21" t="s">
        <v>126</v>
      </c>
      <c r="D15" s="14" t="s">
        <v>225</v>
      </c>
      <c r="E15" s="14"/>
    </row>
    <row r="16" spans="1:5" ht="172.8" x14ac:dyDescent="0.3">
      <c r="A16" s="10" t="s">
        <v>109</v>
      </c>
      <c r="B16" s="10" t="s">
        <v>120</v>
      </c>
      <c r="C16" s="21" t="s">
        <v>127</v>
      </c>
      <c r="D16" s="14" t="s">
        <v>225</v>
      </c>
      <c r="E16" s="14" t="s">
        <v>245</v>
      </c>
    </row>
    <row r="17" spans="1:7" ht="74.400000000000006" customHeight="1" x14ac:dyDescent="0.3">
      <c r="A17" s="10" t="s">
        <v>110</v>
      </c>
      <c r="B17" s="10" t="s">
        <v>120</v>
      </c>
      <c r="C17" s="21" t="s">
        <v>129</v>
      </c>
      <c r="D17" s="14" t="s">
        <v>225</v>
      </c>
      <c r="E17" s="14"/>
    </row>
    <row r="18" spans="1:7" ht="72" x14ac:dyDescent="0.3">
      <c r="A18" s="10" t="s">
        <v>111</v>
      </c>
      <c r="B18" s="10" t="s">
        <v>120</v>
      </c>
      <c r="C18" s="21" t="s">
        <v>128</v>
      </c>
      <c r="D18" s="14" t="s">
        <v>225</v>
      </c>
      <c r="E18" s="14" t="s">
        <v>228</v>
      </c>
    </row>
    <row r="19" spans="1:7" ht="43.2" x14ac:dyDescent="0.3">
      <c r="A19" s="10" t="s">
        <v>112</v>
      </c>
      <c r="B19" s="10" t="s">
        <v>120</v>
      </c>
      <c r="C19" s="21" t="s">
        <v>130</v>
      </c>
      <c r="D19" s="14" t="s">
        <v>225</v>
      </c>
      <c r="E19" s="14"/>
    </row>
    <row r="20" spans="1:7" ht="28.8" x14ac:dyDescent="0.3">
      <c r="A20" s="19" t="s">
        <v>242</v>
      </c>
      <c r="C20" s="14"/>
      <c r="D20" s="13" t="s">
        <v>161</v>
      </c>
      <c r="E20" s="15" t="s">
        <v>244</v>
      </c>
    </row>
    <row r="21" spans="1:7" ht="28.8" x14ac:dyDescent="0.3">
      <c r="A21" s="19" t="s">
        <v>243</v>
      </c>
      <c r="C21" s="14"/>
      <c r="D21" s="13" t="s">
        <v>161</v>
      </c>
      <c r="E21" s="15" t="s">
        <v>244</v>
      </c>
    </row>
    <row r="22" spans="1:7" ht="43.2" x14ac:dyDescent="0.3">
      <c r="A22" s="10" t="s">
        <v>113</v>
      </c>
      <c r="B22" s="10" t="s">
        <v>131</v>
      </c>
      <c r="C22" s="21" t="s">
        <v>132</v>
      </c>
      <c r="D22" s="14" t="s">
        <v>225</v>
      </c>
      <c r="E22" s="15" t="s">
        <v>246</v>
      </c>
    </row>
    <row r="23" spans="1:7" ht="43.2" x14ac:dyDescent="0.3">
      <c r="A23" s="10" t="s">
        <v>114</v>
      </c>
      <c r="B23" s="10" t="s">
        <v>131</v>
      </c>
      <c r="C23" s="21" t="s">
        <v>133</v>
      </c>
      <c r="D23" s="14" t="s">
        <v>226</v>
      </c>
      <c r="E23" s="14" t="s">
        <v>229</v>
      </c>
    </row>
    <row r="24" spans="1:7" ht="201.6" x14ac:dyDescent="0.3">
      <c r="A24" s="10" t="s">
        <v>115</v>
      </c>
      <c r="B24" s="10" t="s">
        <v>131</v>
      </c>
      <c r="C24" s="21" t="s">
        <v>134</v>
      </c>
      <c r="D24" s="14" t="s">
        <v>231</v>
      </c>
      <c r="E24" s="14" t="s">
        <v>230</v>
      </c>
    </row>
    <row r="25" spans="1:7" ht="57.6" x14ac:dyDescent="0.3">
      <c r="A25" s="10" t="s">
        <v>116</v>
      </c>
      <c r="B25" s="10" t="s">
        <v>131</v>
      </c>
      <c r="C25" s="21" t="s">
        <v>135</v>
      </c>
      <c r="D25" s="14" t="s">
        <v>225</v>
      </c>
      <c r="E25" s="14"/>
    </row>
    <row r="26" spans="1:7" ht="100.8" x14ac:dyDescent="0.3">
      <c r="A26" s="10" t="s">
        <v>117</v>
      </c>
      <c r="B26" s="10" t="s">
        <v>139</v>
      </c>
      <c r="C26" s="21" t="s">
        <v>136</v>
      </c>
      <c r="D26" s="14" t="s">
        <v>225</v>
      </c>
      <c r="E26" s="14" t="s">
        <v>232</v>
      </c>
    </row>
    <row r="27" spans="1:7" ht="72" x14ac:dyDescent="0.3">
      <c r="A27" s="10" t="s">
        <v>118</v>
      </c>
      <c r="B27" s="10" t="s">
        <v>139</v>
      </c>
      <c r="C27" s="21" t="s">
        <v>137</v>
      </c>
      <c r="D27" s="14" t="s">
        <v>233</v>
      </c>
      <c r="E27" s="14"/>
    </row>
    <row r="28" spans="1:7" ht="57.6" x14ac:dyDescent="0.3">
      <c r="A28" s="10" t="s">
        <v>119</v>
      </c>
      <c r="B28" s="10" t="s">
        <v>139</v>
      </c>
      <c r="C28" s="21" t="s">
        <v>138</v>
      </c>
      <c r="D28" s="14" t="s">
        <v>225</v>
      </c>
      <c r="E28" s="14"/>
    </row>
    <row r="29" spans="1:7" ht="230.4" x14ac:dyDescent="0.3">
      <c r="A29" s="10" t="s">
        <v>102</v>
      </c>
      <c r="B29" s="10" t="s">
        <v>139</v>
      </c>
      <c r="C29" s="21" t="s">
        <v>140</v>
      </c>
      <c r="D29" s="14" t="s">
        <v>225</v>
      </c>
      <c r="E29" s="14"/>
    </row>
    <row r="30" spans="1:7" x14ac:dyDescent="0.3">
      <c r="A30" s="13" t="s">
        <v>247</v>
      </c>
      <c r="B30" s="10" t="s">
        <v>139</v>
      </c>
      <c r="C30" s="14" t="s">
        <v>268</v>
      </c>
      <c r="D30" s="14" t="s">
        <v>225</v>
      </c>
      <c r="E30" s="13"/>
    </row>
    <row r="31" spans="1:7" x14ac:dyDescent="0.3">
      <c r="A31" s="13" t="s">
        <v>248</v>
      </c>
      <c r="B31" s="10" t="s">
        <v>253</v>
      </c>
      <c r="C31" s="14" t="s">
        <v>269</v>
      </c>
      <c r="D31" s="15" t="s">
        <v>225</v>
      </c>
      <c r="E31" s="13"/>
    </row>
    <row r="32" spans="1:7" ht="43.2" x14ac:dyDescent="0.3">
      <c r="A32" s="13" t="s">
        <v>249</v>
      </c>
      <c r="B32" s="10" t="s">
        <v>253</v>
      </c>
      <c r="C32" s="14" t="s">
        <v>270</v>
      </c>
      <c r="D32" s="15" t="s">
        <v>226</v>
      </c>
      <c r="E32" s="14" t="s">
        <v>229</v>
      </c>
      <c r="F32" s="12"/>
      <c r="G32" s="12"/>
    </row>
    <row r="33" spans="1:7" ht="158.4" x14ac:dyDescent="0.3">
      <c r="A33" s="13" t="s">
        <v>250</v>
      </c>
      <c r="B33" s="10" t="s">
        <v>253</v>
      </c>
      <c r="C33" s="14" t="s">
        <v>271</v>
      </c>
      <c r="D33" s="15" t="s">
        <v>225</v>
      </c>
      <c r="E33" s="17"/>
      <c r="F33" s="12"/>
      <c r="G33" s="12"/>
    </row>
    <row r="34" spans="1:7" x14ac:dyDescent="0.3">
      <c r="A34" s="13" t="s">
        <v>251</v>
      </c>
      <c r="B34" s="10" t="s">
        <v>253</v>
      </c>
      <c r="C34" s="14" t="s">
        <v>272</v>
      </c>
      <c r="D34" s="15" t="s">
        <v>161</v>
      </c>
      <c r="E34" s="13" t="s">
        <v>252</v>
      </c>
    </row>
    <row r="35" spans="1:7" ht="85.8" customHeight="1" x14ac:dyDescent="0.3">
      <c r="A35" s="10" t="s">
        <v>141</v>
      </c>
      <c r="B35" s="10" t="s">
        <v>142</v>
      </c>
      <c r="C35" s="14" t="s">
        <v>143</v>
      </c>
      <c r="D35" s="14" t="s">
        <v>225</v>
      </c>
      <c r="E35" s="14"/>
    </row>
    <row r="36" spans="1:7" ht="86.4" x14ac:dyDescent="0.3">
      <c r="A36" s="10" t="s">
        <v>144</v>
      </c>
      <c r="B36" s="10" t="s">
        <v>142</v>
      </c>
      <c r="C36" s="14" t="s">
        <v>145</v>
      </c>
      <c r="D36" s="14" t="s">
        <v>225</v>
      </c>
      <c r="E36" s="14"/>
    </row>
    <row r="37" spans="1:7" ht="72" x14ac:dyDescent="0.3">
      <c r="A37" s="10" t="s">
        <v>146</v>
      </c>
      <c r="B37" s="10" t="s">
        <v>170</v>
      </c>
      <c r="C37" s="14" t="s">
        <v>148</v>
      </c>
      <c r="D37" s="14" t="s">
        <v>225</v>
      </c>
      <c r="E37" s="14" t="s">
        <v>254</v>
      </c>
    </row>
    <row r="38" spans="1:7" ht="43.2" x14ac:dyDescent="0.3">
      <c r="A38" s="10" t="s">
        <v>147</v>
      </c>
      <c r="B38" s="10" t="s">
        <v>170</v>
      </c>
      <c r="C38" s="14" t="s">
        <v>150</v>
      </c>
      <c r="D38" s="14" t="s">
        <v>225</v>
      </c>
      <c r="E38" s="14"/>
    </row>
    <row r="39" spans="1:7" ht="57.6" x14ac:dyDescent="0.3">
      <c r="A39" s="10" t="s">
        <v>149</v>
      </c>
      <c r="B39" s="10" t="s">
        <v>170</v>
      </c>
      <c r="C39" s="14" t="s">
        <v>151</v>
      </c>
      <c r="D39" s="14" t="s">
        <v>225</v>
      </c>
      <c r="E39" s="14" t="s">
        <v>254</v>
      </c>
    </row>
    <row r="40" spans="1:7" ht="24" customHeight="1" x14ac:dyDescent="0.3">
      <c r="A40" s="10" t="s">
        <v>152</v>
      </c>
      <c r="B40" s="10" t="s">
        <v>170</v>
      </c>
      <c r="C40" s="14" t="s">
        <v>153</v>
      </c>
      <c r="D40" s="14" t="s">
        <v>161</v>
      </c>
      <c r="E40" s="14"/>
    </row>
    <row r="41" spans="1:7" ht="28.8" x14ac:dyDescent="0.3">
      <c r="A41" s="10" t="s">
        <v>156</v>
      </c>
      <c r="B41" s="10" t="s">
        <v>154</v>
      </c>
      <c r="C41" s="14" t="s">
        <v>155</v>
      </c>
      <c r="D41" s="14" t="s">
        <v>225</v>
      </c>
      <c r="E41" s="14"/>
    </row>
    <row r="42" spans="1:7" ht="28.8" x14ac:dyDescent="0.3">
      <c r="A42" s="10" t="s">
        <v>157</v>
      </c>
      <c r="B42" s="10" t="s">
        <v>154</v>
      </c>
      <c r="C42" s="14" t="s">
        <v>158</v>
      </c>
      <c r="D42" s="14" t="s">
        <v>225</v>
      </c>
      <c r="E42" s="14"/>
    </row>
    <row r="43" spans="1:7" x14ac:dyDescent="0.3">
      <c r="A43" s="10" t="s">
        <v>159</v>
      </c>
      <c r="B43" s="10" t="s">
        <v>170</v>
      </c>
      <c r="C43" s="14" t="s">
        <v>160</v>
      </c>
      <c r="D43" s="14" t="s">
        <v>161</v>
      </c>
      <c r="E43" s="14"/>
    </row>
    <row r="44" spans="1:7" ht="57.6" x14ac:dyDescent="0.3">
      <c r="A44" s="10" t="s">
        <v>162</v>
      </c>
      <c r="B44" s="10" t="s">
        <v>170</v>
      </c>
      <c r="C44" s="14" t="s">
        <v>163</v>
      </c>
      <c r="D44" s="14" t="s">
        <v>225</v>
      </c>
      <c r="E44" s="14"/>
    </row>
    <row r="45" spans="1:7" ht="129.6" x14ac:dyDescent="0.3">
      <c r="A45" s="10" t="s">
        <v>164</v>
      </c>
      <c r="B45" s="10" t="s">
        <v>170</v>
      </c>
      <c r="C45" s="14" t="s">
        <v>165</v>
      </c>
      <c r="D45" s="14" t="s">
        <v>225</v>
      </c>
      <c r="E45" s="14"/>
    </row>
    <row r="46" spans="1:7" ht="28.8" x14ac:dyDescent="0.3">
      <c r="A46" s="10" t="s">
        <v>166</v>
      </c>
      <c r="B46" s="10" t="s">
        <v>170</v>
      </c>
      <c r="C46" s="14" t="s">
        <v>167</v>
      </c>
      <c r="D46" s="14" t="s">
        <v>225</v>
      </c>
      <c r="E46" s="14"/>
    </row>
    <row r="47" spans="1:7" ht="28.8" x14ac:dyDescent="0.3">
      <c r="A47" s="10" t="s">
        <v>169</v>
      </c>
      <c r="B47" s="10" t="s">
        <v>170</v>
      </c>
      <c r="C47" s="14" t="s">
        <v>168</v>
      </c>
      <c r="D47" s="14" t="s">
        <v>225</v>
      </c>
      <c r="E47" s="14"/>
    </row>
    <row r="48" spans="1:7" ht="34.200000000000003" customHeight="1" x14ac:dyDescent="0.3">
      <c r="A48" s="10" t="s">
        <v>171</v>
      </c>
      <c r="B48" s="10" t="s">
        <v>170</v>
      </c>
      <c r="C48" s="14" t="s">
        <v>172</v>
      </c>
      <c r="D48" s="14" t="s">
        <v>225</v>
      </c>
      <c r="E48" s="14" t="s">
        <v>255</v>
      </c>
    </row>
    <row r="49" spans="1:6" ht="28.8" x14ac:dyDescent="0.3">
      <c r="A49" s="10" t="s">
        <v>173</v>
      </c>
      <c r="B49" s="10" t="s">
        <v>170</v>
      </c>
      <c r="C49" s="14" t="s">
        <v>174</v>
      </c>
      <c r="D49" s="14" t="s">
        <v>225</v>
      </c>
      <c r="E49" s="14"/>
    </row>
    <row r="50" spans="1:6" ht="28.8" x14ac:dyDescent="0.3">
      <c r="A50" s="10" t="s">
        <v>175</v>
      </c>
      <c r="B50" s="10" t="s">
        <v>170</v>
      </c>
      <c r="C50" s="14" t="s">
        <v>176</v>
      </c>
      <c r="D50" s="14" t="s">
        <v>225</v>
      </c>
      <c r="E50" s="14" t="s">
        <v>256</v>
      </c>
    </row>
    <row r="51" spans="1:6" ht="28.8" x14ac:dyDescent="0.3">
      <c r="A51" s="10" t="s">
        <v>177</v>
      </c>
      <c r="B51" s="10" t="s">
        <v>170</v>
      </c>
      <c r="C51" s="14" t="s">
        <v>178</v>
      </c>
      <c r="D51" s="14" t="s">
        <v>226</v>
      </c>
      <c r="E51" s="14"/>
    </row>
    <row r="52" spans="1:6" ht="61.8" customHeight="1" x14ac:dyDescent="0.3">
      <c r="A52" s="10" t="s">
        <v>181</v>
      </c>
      <c r="B52" s="10" t="s">
        <v>170</v>
      </c>
      <c r="C52" s="14" t="s">
        <v>182</v>
      </c>
      <c r="D52" s="14" t="s">
        <v>225</v>
      </c>
      <c r="E52" s="14"/>
    </row>
    <row r="53" spans="1:6" ht="28.8" x14ac:dyDescent="0.3">
      <c r="A53" s="10" t="s">
        <v>183</v>
      </c>
      <c r="B53" s="10" t="s">
        <v>188</v>
      </c>
      <c r="C53" s="14" t="s">
        <v>186</v>
      </c>
      <c r="D53" s="14" t="s">
        <v>225</v>
      </c>
      <c r="E53" s="14"/>
    </row>
    <row r="54" spans="1:6" ht="28.8" x14ac:dyDescent="0.3">
      <c r="A54" s="10" t="s">
        <v>184</v>
      </c>
      <c r="B54" s="10" t="s">
        <v>188</v>
      </c>
      <c r="C54" s="14" t="s">
        <v>187</v>
      </c>
      <c r="D54" s="14" t="s">
        <v>225</v>
      </c>
      <c r="E54" s="14"/>
    </row>
    <row r="55" spans="1:6" ht="100.8" x14ac:dyDescent="0.3">
      <c r="A55" s="10" t="s">
        <v>190</v>
      </c>
      <c r="B55" s="10" t="s">
        <v>188</v>
      </c>
      <c r="C55" s="14" t="s">
        <v>192</v>
      </c>
      <c r="D55" s="14" t="s">
        <v>225</v>
      </c>
      <c r="E55" s="14"/>
    </row>
    <row r="56" spans="1:6" ht="72" x14ac:dyDescent="0.3">
      <c r="A56" s="10" t="s">
        <v>191</v>
      </c>
      <c r="B56" s="10" t="s">
        <v>188</v>
      </c>
      <c r="C56" s="14" t="s">
        <v>193</v>
      </c>
      <c r="D56" s="14" t="s">
        <v>225</v>
      </c>
      <c r="E56" s="14" t="s">
        <v>194</v>
      </c>
    </row>
    <row r="57" spans="1:6" ht="72" x14ac:dyDescent="0.3">
      <c r="A57" s="10" t="s">
        <v>195</v>
      </c>
      <c r="B57" s="10" t="s">
        <v>188</v>
      </c>
      <c r="C57" s="14" t="s">
        <v>196</v>
      </c>
      <c r="D57" s="14" t="s">
        <v>225</v>
      </c>
      <c r="E57" s="14" t="s">
        <v>257</v>
      </c>
    </row>
    <row r="58" spans="1:6" ht="57.6" x14ac:dyDescent="0.3">
      <c r="A58" s="10" t="s">
        <v>197</v>
      </c>
      <c r="B58" s="10" t="s">
        <v>188</v>
      </c>
      <c r="C58" s="14" t="s">
        <v>198</v>
      </c>
      <c r="D58" s="14" t="s">
        <v>225</v>
      </c>
      <c r="E58" s="14"/>
    </row>
    <row r="59" spans="1:6" ht="57.6" x14ac:dyDescent="0.3">
      <c r="A59" s="10" t="s">
        <v>199</v>
      </c>
      <c r="B59" s="10" t="s">
        <v>188</v>
      </c>
      <c r="C59" s="14" t="s">
        <v>200</v>
      </c>
      <c r="D59" s="14" t="s">
        <v>225</v>
      </c>
      <c r="E59" s="14"/>
    </row>
    <row r="60" spans="1:6" ht="57.6" x14ac:dyDescent="0.3">
      <c r="A60" s="10" t="s">
        <v>201</v>
      </c>
      <c r="B60" s="10" t="s">
        <v>188</v>
      </c>
      <c r="C60" s="14" t="s">
        <v>202</v>
      </c>
      <c r="D60" s="14" t="s">
        <v>225</v>
      </c>
      <c r="E60" s="14"/>
    </row>
    <row r="61" spans="1:6" ht="57.6" x14ac:dyDescent="0.3">
      <c r="A61" s="10" t="s">
        <v>203</v>
      </c>
      <c r="B61" s="10" t="s">
        <v>188</v>
      </c>
      <c r="C61" s="14" t="s">
        <v>204</v>
      </c>
      <c r="D61" s="14" t="s">
        <v>226</v>
      </c>
      <c r="E61" s="14" t="s">
        <v>258</v>
      </c>
      <c r="F61" s="16"/>
    </row>
    <row r="62" spans="1:6" ht="43.2" x14ac:dyDescent="0.3">
      <c r="A62" s="10" t="s">
        <v>205</v>
      </c>
      <c r="B62" s="10" t="s">
        <v>154</v>
      </c>
      <c r="C62" s="14" t="s">
        <v>206</v>
      </c>
      <c r="D62" s="14" t="s">
        <v>225</v>
      </c>
      <c r="E62" s="14"/>
    </row>
    <row r="63" spans="1:6" ht="34.799999999999997" customHeight="1" x14ac:dyDescent="0.3">
      <c r="A63" s="10" t="s">
        <v>207</v>
      </c>
      <c r="B63" s="10" t="s">
        <v>212</v>
      </c>
      <c r="C63" s="14" t="s">
        <v>208</v>
      </c>
      <c r="D63" s="14" t="s">
        <v>225</v>
      </c>
      <c r="E63" s="14"/>
    </row>
    <row r="64" spans="1:6" ht="43.2" x14ac:dyDescent="0.3">
      <c r="A64" s="10" t="s">
        <v>185</v>
      </c>
      <c r="B64" s="10" t="s">
        <v>212</v>
      </c>
      <c r="C64" s="14" t="s">
        <v>209</v>
      </c>
      <c r="D64" s="14" t="s">
        <v>225</v>
      </c>
      <c r="E64" s="14"/>
    </row>
    <row r="65" spans="1:5" ht="57.6" x14ac:dyDescent="0.3">
      <c r="A65" s="10" t="s">
        <v>189</v>
      </c>
      <c r="B65" s="10" t="s">
        <v>212</v>
      </c>
      <c r="C65" s="14" t="s">
        <v>210</v>
      </c>
      <c r="D65" s="14" t="s">
        <v>225</v>
      </c>
      <c r="E65" s="14"/>
    </row>
    <row r="66" spans="1:5" ht="158.4" x14ac:dyDescent="0.3">
      <c r="A66" s="10" t="s">
        <v>211</v>
      </c>
      <c r="B66" s="10" t="s">
        <v>212</v>
      </c>
      <c r="C66" s="14" t="s">
        <v>227</v>
      </c>
      <c r="D66" s="14" t="s">
        <v>225</v>
      </c>
      <c r="E66" s="14"/>
    </row>
    <row r="67" spans="1:5" ht="28.8" x14ac:dyDescent="0.3">
      <c r="A67" s="10" t="s">
        <v>179</v>
      </c>
      <c r="B67" s="10" t="s">
        <v>213</v>
      </c>
      <c r="C67" s="14" t="s">
        <v>214</v>
      </c>
      <c r="D67" s="14" t="s">
        <v>225</v>
      </c>
      <c r="E67" s="14"/>
    </row>
    <row r="68" spans="1:5" ht="57.6" x14ac:dyDescent="0.3">
      <c r="A68" s="10" t="s">
        <v>215</v>
      </c>
      <c r="B68" s="10" t="s">
        <v>213</v>
      </c>
      <c r="C68" s="14" t="s">
        <v>216</v>
      </c>
      <c r="D68" s="14" t="s">
        <v>225</v>
      </c>
      <c r="E68" s="14"/>
    </row>
    <row r="69" spans="1:5" ht="28.8" x14ac:dyDescent="0.3">
      <c r="A69" s="10" t="s">
        <v>180</v>
      </c>
      <c r="B69" s="10" t="s">
        <v>213</v>
      </c>
      <c r="C69" s="14" t="s">
        <v>217</v>
      </c>
      <c r="D69" s="14" t="s">
        <v>225</v>
      </c>
      <c r="E69" s="14"/>
    </row>
    <row r="70" spans="1:5" ht="57.6" x14ac:dyDescent="0.3">
      <c r="A70" s="10" t="s">
        <v>218</v>
      </c>
      <c r="B70" s="10" t="s">
        <v>213</v>
      </c>
      <c r="C70" s="14" t="s">
        <v>219</v>
      </c>
      <c r="D70" s="14" t="s">
        <v>225</v>
      </c>
      <c r="E70" s="14"/>
    </row>
    <row r="71" spans="1:5" ht="28.8" x14ac:dyDescent="0.3">
      <c r="A71" s="10" t="s">
        <v>220</v>
      </c>
      <c r="B71" s="10" t="s">
        <v>213</v>
      </c>
      <c r="C71" s="14" t="s">
        <v>221</v>
      </c>
      <c r="D71" s="14" t="s">
        <v>225</v>
      </c>
      <c r="E71" s="14"/>
    </row>
    <row r="72" spans="1:5" ht="72" x14ac:dyDescent="0.3">
      <c r="A72" s="10" t="s">
        <v>222</v>
      </c>
      <c r="B72" s="10" t="s">
        <v>223</v>
      </c>
      <c r="C72" s="14" t="s">
        <v>224</v>
      </c>
      <c r="D72" s="14" t="s">
        <v>225</v>
      </c>
      <c r="E72" s="14"/>
    </row>
    <row r="73" spans="1:5" x14ac:dyDescent="0.3">
      <c r="A73" s="10" t="s">
        <v>99</v>
      </c>
      <c r="C73" s="14"/>
      <c r="D73" s="14" t="s">
        <v>161</v>
      </c>
      <c r="E73" s="14"/>
    </row>
    <row r="74" spans="1:5" x14ac:dyDescent="0.3">
      <c r="A74" s="10" t="s">
        <v>100</v>
      </c>
      <c r="C74" s="14"/>
      <c r="D74" s="14" t="s">
        <v>161</v>
      </c>
      <c r="E74" s="14"/>
    </row>
    <row r="75" spans="1:5" x14ac:dyDescent="0.3">
      <c r="C75" s="14"/>
      <c r="D75" s="14"/>
      <c r="E75" s="14"/>
    </row>
    <row r="76" spans="1:5" x14ac:dyDescent="0.3">
      <c r="C76" s="14"/>
      <c r="D76" s="14"/>
      <c r="E76" s="14"/>
    </row>
    <row r="77" spans="1:5" x14ac:dyDescent="0.3">
      <c r="C77" s="14"/>
      <c r="D77" s="14"/>
      <c r="E77" s="14"/>
    </row>
    <row r="78" spans="1:5" x14ac:dyDescent="0.3">
      <c r="D78" s="14"/>
      <c r="E78" s="14"/>
    </row>
    <row r="79" spans="1:5" x14ac:dyDescent="0.3">
      <c r="D79" s="14"/>
      <c r="E79" s="14"/>
    </row>
    <row r="80" spans="1:5" x14ac:dyDescent="0.3">
      <c r="D80" s="14"/>
      <c r="E80" s="14"/>
    </row>
    <row r="81" spans="4:5" x14ac:dyDescent="0.3">
      <c r="D81" s="14"/>
      <c r="E81" s="18"/>
    </row>
  </sheetData>
  <phoneticPr fontId="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3C3A-9B9F-4443-A7E6-CE3B2F858A34}">
  <dimension ref="A1:F12"/>
  <sheetViews>
    <sheetView workbookViewId="0">
      <selection activeCell="E6" sqref="E6"/>
    </sheetView>
  </sheetViews>
  <sheetFormatPr defaultRowHeight="14.4" x14ac:dyDescent="0.3"/>
  <cols>
    <col min="1" max="1" width="27.77734375" customWidth="1"/>
    <col min="2" max="2" width="27.88671875" customWidth="1"/>
    <col min="3" max="3" width="24" customWidth="1"/>
    <col min="4" max="4" width="24.88671875" customWidth="1"/>
    <col min="5" max="5" width="28.77734375" customWidth="1"/>
    <col min="6" max="6" width="26.5546875" customWidth="1"/>
  </cols>
  <sheetData>
    <row r="1" spans="1:6" x14ac:dyDescent="0.3">
      <c r="A1" s="8" t="s">
        <v>85</v>
      </c>
      <c r="B1" s="8" t="s">
        <v>86</v>
      </c>
      <c r="C1" s="8" t="s">
        <v>87</v>
      </c>
      <c r="D1" s="8" t="s">
        <v>88</v>
      </c>
      <c r="E1" s="8" t="s">
        <v>89</v>
      </c>
      <c r="F1" s="8" t="s">
        <v>90</v>
      </c>
    </row>
    <row r="2" spans="1:6" x14ac:dyDescent="0.3">
      <c r="A2" t="str" cm="1">
        <f t="array" aca="1" ref="A2" ca="1">"[$"&amp;"SRS_SPM "&amp;TEXT(SUM(CELL("riga",2:2),Metadata!$B$3-2,),"0000")&amp;"]"</f>
        <v>[$SRS_SPM 0032]</v>
      </c>
      <c r="B2" s="4" t="s">
        <v>91</v>
      </c>
      <c r="C2" s="4" t="s">
        <v>92</v>
      </c>
      <c r="E2" s="5" t="str" cm="1">
        <f t="array" aca="1" ref="E2" ca="1">HYPERLINK(CELL("indirizzo",Tabella5[[#This Row],[SysArchReqID]]),Tabella5[[#This Row],[SysArchReqID]])</f>
        <v>SDVA-4873</v>
      </c>
    </row>
    <row r="3" spans="1:6" x14ac:dyDescent="0.3">
      <c r="A3" t="str" cm="1">
        <f t="array" aca="1" ref="A3" ca="1">"[$"&amp;"SRS_SPM "&amp;TEXT(SUM(CELL("riga",3:3),Metadata!$B$3-2,),"0000")&amp;"]"</f>
        <v>[$SRS_SPM 0033]</v>
      </c>
      <c r="B3" s="4" t="s">
        <v>91</v>
      </c>
      <c r="C3" s="4" t="s">
        <v>92</v>
      </c>
      <c r="E3" s="5" t="str" cm="1">
        <f t="array" aca="1" ref="E3" ca="1">HYPERLINK(CELL("indirizzo",Tabella5[[#This Row],[SysArchReqID]]),Tabella5[[#This Row],[SysArchReqID]])</f>
        <v>SDVA-4874</v>
      </c>
    </row>
    <row r="4" spans="1:6" x14ac:dyDescent="0.3">
      <c r="A4" t="str" cm="1">
        <f t="array" aca="1" ref="A4" ca="1">"[$"&amp;"SRS_SPM "&amp;TEXT(SUM(CELL("riga",4:4),Metadata!$B$3-2,),"0000")&amp;"]"</f>
        <v>[$SRS_SPM 0034]</v>
      </c>
      <c r="B4" s="4" t="s">
        <v>91</v>
      </c>
      <c r="C4" s="4" t="s">
        <v>92</v>
      </c>
      <c r="E4" s="5" t="str" cm="1">
        <f t="array" aca="1" ref="E4" ca="1">HYPERLINK(CELL("indirizzo",Tabella5[[#This Row],[SysArchReqID]]),Tabella5[[#This Row],[SysArchReqID]])</f>
        <v>SDVA-4875</v>
      </c>
    </row>
    <row r="5" spans="1:6" x14ac:dyDescent="0.3">
      <c r="A5" t="str" cm="1">
        <f t="array" aca="1" ref="A5" ca="1">"[$"&amp;"SRS_SPM "&amp;TEXT(SUM(CELL("riga",5:5),Metadata!$B$3-2,),"0000")&amp;"]"</f>
        <v>[$SRS_SPM 0035]</v>
      </c>
      <c r="B5" s="4" t="s">
        <v>91</v>
      </c>
      <c r="C5" s="4" t="s">
        <v>92</v>
      </c>
      <c r="E5" s="5" t="str" cm="1">
        <f t="array" aca="1" ref="E5" ca="1">HYPERLINK(CELL("indirizzo",Tabella5[[#This Row],[SysArchReqID]]),Tabella5[[#This Row],[SysArchReqID]])</f>
        <v>SDVA-5379</v>
      </c>
    </row>
    <row r="6" spans="1:6" x14ac:dyDescent="0.3">
      <c r="E6" s="5"/>
    </row>
    <row r="7" spans="1:6" x14ac:dyDescent="0.3">
      <c r="E7" s="5"/>
    </row>
    <row r="8" spans="1:6" x14ac:dyDescent="0.3">
      <c r="E8" s="5"/>
    </row>
    <row r="9" spans="1:6" x14ac:dyDescent="0.3">
      <c r="E9" s="5"/>
    </row>
    <row r="10" spans="1:6" x14ac:dyDescent="0.3">
      <c r="E10" s="5"/>
    </row>
    <row r="11" spans="1:6" x14ac:dyDescent="0.3">
      <c r="E11" s="5"/>
    </row>
    <row r="12" spans="1:6" x14ac:dyDescent="0.3">
      <c r="E12" s="5"/>
    </row>
  </sheetData>
  <dataValidations count="2">
    <dataValidation type="list" allowBlank="1" showInputMessage="1" showErrorMessage="1" sqref="C2:C5" xr:uid="{4706B582-97CE-479D-AA87-EB48744AB115}">
      <formula1>"Accepted,Implemented,Rejected,Review"</formula1>
    </dataValidation>
    <dataValidation type="list" allowBlank="1" showInputMessage="1" showErrorMessage="1" sqref="B2:B5" xr:uid="{10D61ACA-ACDF-47AB-BC24-CA030A74F3FB}">
      <formula1>"Customer Discussion,Customer Spec Track"</formula1>
    </dataValidation>
  </dataValidations>
  <pageMargins left="0.7" right="0.7" top="0.75" bottom="0.75" header="0.3" footer="0.3"/>
  <ignoredErrors>
    <ignoredError sqref="E2:E5" calculatedColum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Metadata</vt:lpstr>
      <vt:lpstr>SDV_8217</vt:lpstr>
      <vt:lpstr>SRS_SDV_8217</vt:lpstr>
      <vt:lpstr>SDV_2017</vt:lpstr>
      <vt:lpstr>SRS_SDV_2017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Pinti Giovanni (ETAS-VOS/XPC-Tn1)</dc:creator>
  <cp:lastModifiedBy>Valsania Enrico (ETAS-VOS/XPC-Tn1)</cp:lastModifiedBy>
  <dcterms:created xsi:type="dcterms:W3CDTF">2015-06-05T18:17:20Z</dcterms:created>
  <dcterms:modified xsi:type="dcterms:W3CDTF">2024-03-20T14:08:20Z</dcterms:modified>
</cp:coreProperties>
</file>